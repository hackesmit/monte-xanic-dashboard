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4.xml" ContentType="application/vnd.openxmlformats-officedocument.spreadsheetml.comments+xml"/>
  <Override PartName="/xl/threadedComments/threadedComment1.xml" ContentType="application/vnd.ms-excel.threadedcomments+xml"/>
  <Override PartName="/xl/comments5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anie\Downloads\"/>
    </mc:Choice>
  </mc:AlternateContent>
  <xr:revisionPtr revIDLastSave="0" documentId="13_ncr:1_{CA424BB6-25DB-4C76-98E1-E8EAFA16836C}" xr6:coauthVersionLast="47" xr6:coauthVersionMax="47" xr10:uidLastSave="{00000000-0000-0000-0000-000000000000}"/>
  <bookViews>
    <workbookView xWindow="-110" yWindow="-110" windowWidth="19420" windowHeight="11500" xr2:uid="{E9DC06B1-82D3-400B-A9CC-5453469147C9}"/>
  </bookViews>
  <sheets>
    <sheet name="PV-DUR" sheetId="7" r:id="rId1"/>
    <sheet name="C.S.-SY-MAL-MRS-TEM" sheetId="5" r:id="rId2"/>
    <sheet name="MER-CF-GRE-CALADOC" sheetId="6" r:id="rId3"/>
    <sheet name="SB" sheetId="8" r:id="rId4"/>
    <sheet name="CH-CB-SBGR" sheetId="9" r:id="rId5"/>
    <sheet name="PRERECEPCIÓN 2025" sheetId="10" state="hidden" r:id="rId6"/>
    <sheet name="RECEPCIÓN 2025" sheetId="11" state="hidden" r:id="rId7"/>
    <sheet name="COMPOSICIÓN TK TINTOS" sheetId="12" state="hidden" r:id="rId8"/>
    <sheet name="COMPOSICIÓN BLANCOS" sheetId="13" state="hidden" r:id="rId9"/>
  </sheets>
  <externalReferences>
    <externalReference r:id="rId10"/>
  </externalReferences>
  <definedNames>
    <definedName name="_xlnm._FilterDatabase" localSheetId="8" hidden="1">'COMPOSICIÓN BLANCOS'!$A$3:$AE$65</definedName>
    <definedName name="_xlnm._FilterDatabase" localSheetId="7" hidden="1">'COMPOSICIÓN TK TINTOS'!$A$3:$AD$5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6" l="1"/>
  <c r="K21" i="6"/>
  <c r="K22" i="6"/>
  <c r="K23" i="6"/>
  <c r="J24" i="6"/>
  <c r="K24" i="6"/>
  <c r="K25" i="6"/>
  <c r="K26" i="6"/>
  <c r="K27" i="6"/>
  <c r="K28" i="6"/>
  <c r="J29" i="6"/>
  <c r="K29" i="6"/>
  <c r="K30" i="6"/>
  <c r="K31" i="6"/>
  <c r="J32" i="6"/>
  <c r="K32" i="6"/>
  <c r="W36" i="13"/>
  <c r="W35" i="13"/>
  <c r="W33" i="13"/>
  <c r="W28" i="13"/>
  <c r="D66" i="13"/>
  <c r="Q62" i="13"/>
  <c r="L62" i="13"/>
  <c r="H62" i="13"/>
  <c r="W62" i="13" s="1"/>
  <c r="S58" i="13"/>
  <c r="Q58" i="13"/>
  <c r="L58" i="13"/>
  <c r="H58" i="13"/>
  <c r="I58" i="13" s="1"/>
  <c r="W57" i="13"/>
  <c r="W56" i="13"/>
  <c r="R56" i="13"/>
  <c r="S56" i="13" s="1"/>
  <c r="Q56" i="13"/>
  <c r="I56" i="13"/>
  <c r="P54" i="13"/>
  <c r="Q54" i="13" s="1"/>
  <c r="L54" i="13"/>
  <c r="I54" i="13"/>
  <c r="H54" i="13"/>
  <c r="W54" i="13" s="1"/>
  <c r="W53" i="13"/>
  <c r="R53" i="13"/>
  <c r="S53" i="13" s="1"/>
  <c r="Q53" i="13"/>
  <c r="L53" i="13"/>
  <c r="I53" i="13"/>
  <c r="W52" i="13"/>
  <c r="W50" i="13"/>
  <c r="P50" i="13"/>
  <c r="Q50" i="13" s="1"/>
  <c r="K50" i="13"/>
  <c r="L50" i="13" s="1"/>
  <c r="I50" i="13"/>
  <c r="W47" i="13"/>
  <c r="P47" i="13"/>
  <c r="P49" i="13" s="1"/>
  <c r="L47" i="13"/>
  <c r="I47" i="13"/>
  <c r="W45" i="13"/>
  <c r="S45" i="13"/>
  <c r="Q45" i="13"/>
  <c r="K45" i="13"/>
  <c r="L45" i="13" s="1"/>
  <c r="I45" i="13"/>
  <c r="W44" i="13"/>
  <c r="R44" i="13"/>
  <c r="S44" i="13" s="1"/>
  <c r="Q44" i="13"/>
  <c r="L44" i="13"/>
  <c r="I44" i="13"/>
  <c r="W43" i="13"/>
  <c r="S43" i="13"/>
  <c r="Q43" i="13"/>
  <c r="K43" i="13"/>
  <c r="L43" i="13" s="1"/>
  <c r="I43" i="13"/>
  <c r="W40" i="13"/>
  <c r="Q40" i="13"/>
  <c r="L40" i="13"/>
  <c r="I40" i="13"/>
  <c r="W39" i="13"/>
  <c r="R39" i="13"/>
  <c r="Q39" i="13"/>
  <c r="L39" i="13"/>
  <c r="I39" i="13"/>
  <c r="W37" i="13"/>
  <c r="Q37" i="13"/>
  <c r="L37" i="13"/>
  <c r="I37" i="13"/>
  <c r="I36" i="13"/>
  <c r="S35" i="13"/>
  <c r="Q35" i="13"/>
  <c r="I35" i="13"/>
  <c r="S33" i="13"/>
  <c r="Q33" i="13"/>
  <c r="O33" i="13"/>
  <c r="H33" i="13"/>
  <c r="I33" i="13" s="1"/>
  <c r="W30" i="13"/>
  <c r="Q30" i="13"/>
  <c r="O30" i="13"/>
  <c r="K30" i="13"/>
  <c r="L30" i="13" s="1"/>
  <c r="I30" i="13"/>
  <c r="Q29" i="13"/>
  <c r="O29" i="13"/>
  <c r="K29" i="13"/>
  <c r="L29" i="13" s="1"/>
  <c r="H29" i="13"/>
  <c r="I29" i="13" s="1"/>
  <c r="H28" i="13"/>
  <c r="H27" i="13"/>
  <c r="W27" i="13" s="1"/>
  <c r="W26" i="13"/>
  <c r="Q26" i="13"/>
  <c r="O26" i="13"/>
  <c r="K26" i="13"/>
  <c r="L26" i="13" s="1"/>
  <c r="I26" i="13"/>
  <c r="G26" i="13"/>
  <c r="W25" i="13"/>
  <c r="K25" i="13"/>
  <c r="L25" i="13" s="1"/>
  <c r="I25" i="13"/>
  <c r="W24" i="13"/>
  <c r="R24" i="13"/>
  <c r="S24" i="13" s="1"/>
  <c r="Q24" i="13"/>
  <c r="L24" i="13"/>
  <c r="I24" i="13"/>
  <c r="W22" i="13"/>
  <c r="S22" i="13"/>
  <c r="Q22" i="13"/>
  <c r="L22" i="13"/>
  <c r="I22" i="13"/>
  <c r="W19" i="13"/>
  <c r="K19" i="13"/>
  <c r="L19" i="13" s="1"/>
  <c r="I19" i="13"/>
  <c r="W16" i="13"/>
  <c r="S16" i="13"/>
  <c r="Q16" i="13"/>
  <c r="L16" i="13"/>
  <c r="I16" i="13"/>
  <c r="W14" i="13"/>
  <c r="S14" i="13"/>
  <c r="Q14" i="13"/>
  <c r="K14" i="13"/>
  <c r="L14" i="13" s="1"/>
  <c r="I14" i="13"/>
  <c r="W13" i="13"/>
  <c r="S13" i="13"/>
  <c r="Q13" i="13"/>
  <c r="K13" i="13"/>
  <c r="L13" i="13" s="1"/>
  <c r="I13" i="13"/>
  <c r="S12" i="13"/>
  <c r="Q12" i="13"/>
  <c r="K12" i="13"/>
  <c r="L12" i="13" s="1"/>
  <c r="H12" i="13"/>
  <c r="I12" i="13" s="1"/>
  <c r="W11" i="13"/>
  <c r="R11" i="13"/>
  <c r="S11" i="13" s="1"/>
  <c r="Q11" i="13"/>
  <c r="K11" i="13"/>
  <c r="L11" i="13" s="1"/>
  <c r="I11" i="13"/>
  <c r="K8" i="13"/>
  <c r="K7" i="13"/>
  <c r="I7" i="13"/>
  <c r="K5" i="13"/>
  <c r="L5" i="13" s="1"/>
  <c r="H5" i="13"/>
  <c r="I5" i="13" s="1"/>
  <c r="S4" i="13"/>
  <c r="Q4" i="13"/>
  <c r="K4" i="13"/>
  <c r="L4" i="13" s="1"/>
  <c r="I4" i="13"/>
  <c r="K66" i="12"/>
  <c r="K59" i="12"/>
  <c r="K57" i="12"/>
  <c r="H55" i="12"/>
  <c r="H59" i="12"/>
  <c r="H57" i="12"/>
  <c r="W12" i="13" l="1"/>
  <c r="M50" i="13"/>
  <c r="M22" i="13"/>
  <c r="M43" i="13"/>
  <c r="M24" i="13"/>
  <c r="I28" i="13"/>
  <c r="M26" i="13"/>
  <c r="M12" i="13"/>
  <c r="L7" i="13"/>
  <c r="M7" i="13" s="1"/>
  <c r="M35" i="13"/>
  <c r="M40" i="13"/>
  <c r="M19" i="13"/>
  <c r="M39" i="13"/>
  <c r="M30" i="13"/>
  <c r="M45" i="13"/>
  <c r="M13" i="13"/>
  <c r="M16" i="13"/>
  <c r="W58" i="13"/>
  <c r="M25" i="13"/>
  <c r="Q5" i="13"/>
  <c r="M14" i="13"/>
  <c r="R5" i="13"/>
  <c r="S5" i="13" s="1"/>
  <c r="R29" i="13"/>
  <c r="R54" i="13"/>
  <c r="S54" i="13" s="1"/>
  <c r="W29" i="13"/>
  <c r="M11" i="13"/>
  <c r="M5" i="13"/>
  <c r="M37" i="13"/>
  <c r="M53" i="13"/>
  <c r="M29" i="13"/>
  <c r="M58" i="13"/>
  <c r="Q47" i="13"/>
  <c r="I62" i="13"/>
  <c r="M62" i="13" s="1"/>
  <c r="P41" i="13"/>
  <c r="I27" i="13"/>
  <c r="W96" i="12" l="1"/>
  <c r="U96" i="12"/>
  <c r="W95" i="12"/>
  <c r="U95" i="12"/>
  <c r="W94" i="12"/>
  <c r="U94" i="12"/>
  <c r="W92" i="12"/>
  <c r="P92" i="12"/>
  <c r="M92" i="12"/>
  <c r="N92" i="12" s="1"/>
  <c r="K92" i="12"/>
  <c r="G92" i="12"/>
  <c r="H92" i="12" s="1"/>
  <c r="W91" i="12"/>
  <c r="U91" i="12"/>
  <c r="H91" i="12"/>
  <c r="W90" i="12"/>
  <c r="U90" i="12"/>
  <c r="H90" i="12"/>
  <c r="W89" i="12"/>
  <c r="G89" i="12"/>
  <c r="U89" i="12" s="1"/>
  <c r="W88" i="12"/>
  <c r="K88" i="12"/>
  <c r="G88" i="12"/>
  <c r="H88" i="12" s="1"/>
  <c r="V87" i="12"/>
  <c r="K87" i="12"/>
  <c r="G87" i="12"/>
  <c r="H87" i="12" s="1"/>
  <c r="W86" i="12"/>
  <c r="K86" i="12"/>
  <c r="G86" i="12"/>
  <c r="U86" i="12" s="1"/>
  <c r="W85" i="12"/>
  <c r="K85" i="12"/>
  <c r="G85" i="12"/>
  <c r="U85" i="12" s="1"/>
  <c r="W84" i="12"/>
  <c r="U84" i="12"/>
  <c r="M84" i="12"/>
  <c r="N84" i="12" s="1"/>
  <c r="K84" i="12"/>
  <c r="H84" i="12"/>
  <c r="W82" i="12"/>
  <c r="O82" i="12"/>
  <c r="J82" i="12"/>
  <c r="K82" i="12" s="1"/>
  <c r="G82" i="12"/>
  <c r="U82" i="12" s="1"/>
  <c r="V81" i="12"/>
  <c r="W81" i="12" s="1"/>
  <c r="U81" i="12"/>
  <c r="M81" i="12"/>
  <c r="N81" i="12" s="1"/>
  <c r="K81" i="12"/>
  <c r="H81" i="12"/>
  <c r="V79" i="12"/>
  <c r="W79" i="12" s="1"/>
  <c r="P79" i="12"/>
  <c r="G79" i="12"/>
  <c r="H79" i="12" s="1"/>
  <c r="AC78" i="12"/>
  <c r="W78" i="12"/>
  <c r="P78" i="12"/>
  <c r="G78" i="12"/>
  <c r="U78" i="12" s="1"/>
  <c r="V77" i="12"/>
  <c r="W77" i="12" s="1"/>
  <c r="P77" i="12"/>
  <c r="G77" i="12"/>
  <c r="P76" i="12"/>
  <c r="P75" i="12"/>
  <c r="W74" i="12"/>
  <c r="M74" i="12"/>
  <c r="N74" i="12" s="1"/>
  <c r="K74" i="12"/>
  <c r="G74" i="12"/>
  <c r="U74" i="12" s="1"/>
  <c r="W73" i="12"/>
  <c r="U73" i="12"/>
  <c r="M73" i="12"/>
  <c r="N73" i="12" s="1"/>
  <c r="K73" i="12"/>
  <c r="H73" i="12"/>
  <c r="W72" i="12"/>
  <c r="U72" i="12"/>
  <c r="H72" i="12"/>
  <c r="V71" i="12"/>
  <c r="W71" i="12" s="1"/>
  <c r="O71" i="12"/>
  <c r="N71" i="12"/>
  <c r="K71" i="12"/>
  <c r="G71" i="12"/>
  <c r="H71" i="12" s="1"/>
  <c r="V70" i="12"/>
  <c r="W70" i="12" s="1"/>
  <c r="G70" i="12"/>
  <c r="V69" i="12"/>
  <c r="W69" i="12" s="1"/>
  <c r="G69" i="12"/>
  <c r="H69" i="12" s="1"/>
  <c r="V68" i="12"/>
  <c r="W68" i="12" s="1"/>
  <c r="H68" i="12"/>
  <c r="G68" i="12"/>
  <c r="V67" i="12"/>
  <c r="W67" i="12" s="1"/>
  <c r="G67" i="12"/>
  <c r="H67" i="12" s="1"/>
  <c r="W66" i="12"/>
  <c r="U66" i="12"/>
  <c r="H66" i="12"/>
  <c r="V65" i="12"/>
  <c r="W65" i="12" s="1"/>
  <c r="P65" i="12"/>
  <c r="N65" i="12"/>
  <c r="M65" i="12"/>
  <c r="K65" i="12"/>
  <c r="G65" i="12"/>
  <c r="H65" i="12" s="1"/>
  <c r="W64" i="12"/>
  <c r="U64" i="12"/>
  <c r="W63" i="12"/>
  <c r="W62" i="12"/>
  <c r="W61" i="12"/>
  <c r="U61" i="12"/>
  <c r="W60" i="12"/>
  <c r="U60" i="12"/>
  <c r="W59" i="12"/>
  <c r="U59" i="12"/>
  <c r="W58" i="12"/>
  <c r="U58" i="12"/>
  <c r="W57" i="12"/>
  <c r="U57" i="12"/>
  <c r="W56" i="12"/>
  <c r="W55" i="12"/>
  <c r="U55" i="12"/>
  <c r="J55" i="12"/>
  <c r="K55" i="12" s="1"/>
  <c r="W54" i="12"/>
  <c r="V54" i="12"/>
  <c r="J54" i="12"/>
  <c r="G54" i="12"/>
  <c r="H54" i="12" s="1"/>
  <c r="W53" i="12"/>
  <c r="U53" i="12"/>
  <c r="P53" i="12"/>
  <c r="N53" i="12"/>
  <c r="M53" i="12"/>
  <c r="K53" i="12"/>
  <c r="H53" i="12"/>
  <c r="W52" i="12"/>
  <c r="U52" i="12"/>
  <c r="P52" i="12"/>
  <c r="M52" i="12"/>
  <c r="N52" i="12" s="1"/>
  <c r="K52" i="12"/>
  <c r="H52" i="12"/>
  <c r="W51" i="12"/>
  <c r="U51" i="12"/>
  <c r="M51" i="12"/>
  <c r="N51" i="12" s="1"/>
  <c r="K51" i="12"/>
  <c r="H51" i="12"/>
  <c r="W50" i="12"/>
  <c r="U50" i="12"/>
  <c r="P50" i="12"/>
  <c r="M50" i="12"/>
  <c r="N50" i="12" s="1"/>
  <c r="K50" i="12"/>
  <c r="H50" i="12"/>
  <c r="W49" i="12"/>
  <c r="P49" i="12"/>
  <c r="M49" i="12"/>
  <c r="N49" i="12" s="1"/>
  <c r="K49" i="12"/>
  <c r="G49" i="12"/>
  <c r="U49" i="12" s="1"/>
  <c r="W48" i="12"/>
  <c r="P48" i="12"/>
  <c r="M48" i="12"/>
  <c r="N48" i="12" s="1"/>
  <c r="K48" i="12"/>
  <c r="G48" i="12"/>
  <c r="U48" i="12" s="1"/>
  <c r="W47" i="12"/>
  <c r="W46" i="12"/>
  <c r="M46" i="12"/>
  <c r="N46" i="12" s="1"/>
  <c r="K46" i="12"/>
  <c r="G46" i="12"/>
  <c r="U46" i="12" s="1"/>
  <c r="W45" i="12"/>
  <c r="V44" i="12"/>
  <c r="W44" i="12" s="1"/>
  <c r="P44" i="12"/>
  <c r="M44" i="12"/>
  <c r="N44" i="12" s="1"/>
  <c r="K44" i="12"/>
  <c r="H44" i="12"/>
  <c r="W43" i="12"/>
  <c r="M43" i="12"/>
  <c r="N43" i="12" s="1"/>
  <c r="K43" i="12"/>
  <c r="G43" i="12"/>
  <c r="H43" i="12" s="1"/>
  <c r="W42" i="12"/>
  <c r="U42" i="12"/>
  <c r="K42" i="12"/>
  <c r="H42" i="12"/>
  <c r="V41" i="12"/>
  <c r="W41" i="12" s="1"/>
  <c r="K41" i="12"/>
  <c r="H41" i="12"/>
  <c r="V40" i="12"/>
  <c r="W40" i="12" s="1"/>
  <c r="D40" i="12"/>
  <c r="H40" i="12" s="1"/>
  <c r="W39" i="12"/>
  <c r="U39" i="12"/>
  <c r="M39" i="12"/>
  <c r="N39" i="12" s="1"/>
  <c r="K39" i="12"/>
  <c r="H39" i="12"/>
  <c r="W38" i="12"/>
  <c r="U38" i="12"/>
  <c r="M38" i="12"/>
  <c r="N38" i="12" s="1"/>
  <c r="K38" i="12"/>
  <c r="H38" i="12"/>
  <c r="V37" i="12"/>
  <c r="W37" i="12" s="1"/>
  <c r="N37" i="12"/>
  <c r="K37" i="12"/>
  <c r="P37" i="12" s="1"/>
  <c r="H37" i="12"/>
  <c r="W36" i="12"/>
  <c r="U36" i="12"/>
  <c r="O36" i="12"/>
  <c r="N36" i="12"/>
  <c r="K36" i="12"/>
  <c r="H36" i="12"/>
  <c r="V35" i="12"/>
  <c r="U35" i="12" s="1"/>
  <c r="Q35" i="12"/>
  <c r="P35" i="12"/>
  <c r="M35" i="12"/>
  <c r="N35" i="12" s="1"/>
  <c r="K35" i="12"/>
  <c r="H35" i="12"/>
  <c r="W34" i="12"/>
  <c r="O34" i="12"/>
  <c r="M34" i="12"/>
  <c r="N34" i="12" s="1"/>
  <c r="J34" i="12"/>
  <c r="K34" i="12" s="1"/>
  <c r="G34" i="12"/>
  <c r="U34" i="12" s="1"/>
  <c r="W33" i="12"/>
  <c r="M33" i="12"/>
  <c r="N33" i="12" s="1"/>
  <c r="K33" i="12"/>
  <c r="G33" i="12"/>
  <c r="U33" i="12" s="1"/>
  <c r="W32" i="12"/>
  <c r="U32" i="12"/>
  <c r="M32" i="12"/>
  <c r="N32" i="12" s="1"/>
  <c r="K32" i="12"/>
  <c r="H32" i="12"/>
  <c r="W31" i="12"/>
  <c r="U31" i="12"/>
  <c r="K31" i="12"/>
  <c r="P31" i="12" s="1"/>
  <c r="H31" i="12"/>
  <c r="W30" i="12"/>
  <c r="W29" i="12"/>
  <c r="M29" i="12"/>
  <c r="N29" i="12" s="1"/>
  <c r="K29" i="12"/>
  <c r="G29" i="12"/>
  <c r="H29" i="12" s="1"/>
  <c r="W28" i="12"/>
  <c r="W27" i="12"/>
  <c r="U27" i="12"/>
  <c r="M27" i="12"/>
  <c r="N27" i="12" s="1"/>
  <c r="K27" i="12"/>
  <c r="H27" i="12"/>
  <c r="W26" i="12"/>
  <c r="U26" i="12"/>
  <c r="H26" i="12"/>
  <c r="V25" i="12"/>
  <c r="W25" i="12" s="1"/>
  <c r="M25" i="12"/>
  <c r="N25" i="12" s="1"/>
  <c r="K25" i="12"/>
  <c r="H25" i="12"/>
  <c r="W24" i="12"/>
  <c r="W23" i="12"/>
  <c r="U23" i="12"/>
  <c r="O23" i="12"/>
  <c r="N23" i="12"/>
  <c r="K23" i="12"/>
  <c r="H23" i="12"/>
  <c r="V22" i="12"/>
  <c r="W22" i="12" s="1"/>
  <c r="M22" i="12"/>
  <c r="N22" i="12" s="1"/>
  <c r="P22" i="12" s="1"/>
  <c r="K22" i="12"/>
  <c r="H22" i="12"/>
  <c r="W21" i="12"/>
  <c r="U21" i="12"/>
  <c r="N21" i="12"/>
  <c r="K21" i="12"/>
  <c r="H21" i="12"/>
  <c r="W20" i="12"/>
  <c r="H20" i="12"/>
  <c r="V19" i="12"/>
  <c r="U19" i="12" s="1"/>
  <c r="O19" i="12"/>
  <c r="N19" i="12"/>
  <c r="K19" i="12"/>
  <c r="H19" i="12"/>
  <c r="W18" i="12"/>
  <c r="U18" i="12"/>
  <c r="M18" i="12"/>
  <c r="N18" i="12" s="1"/>
  <c r="K18" i="12"/>
  <c r="H18" i="12"/>
  <c r="W17" i="12"/>
  <c r="M17" i="12"/>
  <c r="N17" i="12" s="1"/>
  <c r="K17" i="12"/>
  <c r="H17" i="12"/>
  <c r="W16" i="12"/>
  <c r="O16" i="12"/>
  <c r="N16" i="12"/>
  <c r="K16" i="12"/>
  <c r="H16" i="12"/>
  <c r="W15" i="12"/>
  <c r="W14" i="12"/>
  <c r="U14" i="12"/>
  <c r="K14" i="12"/>
  <c r="H14" i="12"/>
  <c r="W13" i="12"/>
  <c r="W12" i="12"/>
  <c r="U12" i="12"/>
  <c r="K12" i="12"/>
  <c r="H12" i="12"/>
  <c r="W11" i="12"/>
  <c r="U11" i="12"/>
  <c r="O11" i="12"/>
  <c r="P11" i="12" s="1"/>
  <c r="N11" i="12"/>
  <c r="K11" i="12"/>
  <c r="H11" i="12"/>
  <c r="W10" i="12"/>
  <c r="U10" i="12"/>
  <c r="O10" i="12"/>
  <c r="P10" i="12" s="1"/>
  <c r="N10" i="12"/>
  <c r="K10" i="12"/>
  <c r="H10" i="12"/>
  <c r="W9" i="12"/>
  <c r="H9" i="12"/>
  <c r="W8" i="12"/>
  <c r="O8" i="12"/>
  <c r="N8" i="12"/>
  <c r="K8" i="12"/>
  <c r="H8" i="12"/>
  <c r="W7" i="12"/>
  <c r="K7" i="12"/>
  <c r="G7" i="12"/>
  <c r="H7" i="12" s="1"/>
  <c r="W6" i="12"/>
  <c r="O6" i="12"/>
  <c r="P6" i="12" s="1"/>
  <c r="M6" i="12"/>
  <c r="N6" i="12" s="1"/>
  <c r="K6" i="12"/>
  <c r="G6" i="12"/>
  <c r="H6" i="12" s="1"/>
  <c r="W5" i="12"/>
  <c r="H5" i="12"/>
  <c r="W4" i="12"/>
  <c r="O4" i="12"/>
  <c r="H4" i="12"/>
  <c r="P84" i="12" l="1"/>
  <c r="P43" i="12"/>
  <c r="U6" i="12"/>
  <c r="P17" i="12"/>
  <c r="P21" i="12"/>
  <c r="P25" i="12"/>
  <c r="P16" i="12"/>
  <c r="P81" i="12"/>
  <c r="P33" i="12"/>
  <c r="P46" i="12"/>
  <c r="P8" i="12"/>
  <c r="U29" i="12"/>
  <c r="P71" i="12"/>
  <c r="U25" i="12"/>
  <c r="U68" i="12"/>
  <c r="U87" i="12"/>
  <c r="P18" i="12"/>
  <c r="W19" i="12"/>
  <c r="U88" i="12"/>
  <c r="U79" i="12"/>
  <c r="P29" i="12"/>
  <c r="U7" i="12"/>
  <c r="M82" i="12"/>
  <c r="N82" i="12" s="1"/>
  <c r="P82" i="12" s="1"/>
  <c r="U92" i="12"/>
  <c r="P23" i="12"/>
  <c r="P27" i="12"/>
  <c r="P32" i="12"/>
  <c r="P36" i="12"/>
  <c r="P39" i="12"/>
  <c r="H34" i="12"/>
  <c r="U41" i="12"/>
  <c r="U54" i="12"/>
  <c r="U70" i="12"/>
  <c r="U77" i="12"/>
  <c r="P19" i="12"/>
  <c r="U22" i="12"/>
  <c r="P38" i="12"/>
  <c r="U43" i="12"/>
  <c r="P74" i="12"/>
  <c r="H33" i="12"/>
  <c r="K40" i="12"/>
  <c r="H46" i="12"/>
  <c r="W87" i="12"/>
  <c r="U40" i="12"/>
  <c r="U69" i="12"/>
  <c r="P73" i="12"/>
  <c r="P34" i="12"/>
  <c r="H49" i="12"/>
  <c r="H78" i="12"/>
  <c r="W35" i="12"/>
  <c r="H70" i="12"/>
  <c r="H86" i="12"/>
  <c r="H89" i="12"/>
  <c r="H48" i="12"/>
  <c r="H74" i="12"/>
  <c r="U44" i="12"/>
  <c r="U65" i="12"/>
  <c r="U67" i="12"/>
  <c r="U71" i="12"/>
  <c r="H77" i="12"/>
  <c r="U37" i="12"/>
  <c r="H82" i="12"/>
  <c r="K9" i="6" l="1"/>
  <c r="K25" i="5"/>
  <c r="K9" i="9"/>
  <c r="K9" i="8"/>
  <c r="K9" i="5"/>
  <c r="K9" i="7"/>
  <c r="T118" i="11"/>
  <c r="F123" i="10"/>
  <c r="X121" i="10"/>
  <c r="W121" i="10"/>
  <c r="P121" i="10"/>
  <c r="N121" i="10"/>
  <c r="X120" i="10"/>
  <c r="W120" i="10"/>
  <c r="P120" i="10"/>
  <c r="N120" i="10"/>
  <c r="X119" i="10"/>
  <c r="W119" i="10"/>
  <c r="AD119" i="10" s="1"/>
  <c r="P119" i="10"/>
  <c r="N119" i="10"/>
  <c r="X118" i="10"/>
  <c r="W118" i="10"/>
  <c r="P118" i="10"/>
  <c r="N118" i="10"/>
  <c r="X117" i="10"/>
  <c r="W117" i="10"/>
  <c r="P117" i="10"/>
  <c r="N117" i="10"/>
  <c r="X26" i="10"/>
  <c r="W26" i="10"/>
  <c r="P26" i="10"/>
  <c r="N26" i="10"/>
  <c r="X116" i="10"/>
  <c r="W116" i="10"/>
  <c r="P116" i="10"/>
  <c r="N116" i="10"/>
  <c r="X115" i="10"/>
  <c r="W115" i="10"/>
  <c r="P115" i="10"/>
  <c r="N115" i="10"/>
  <c r="X114" i="10"/>
  <c r="W114" i="10"/>
  <c r="P114" i="10"/>
  <c r="N114" i="10"/>
  <c r="X113" i="10"/>
  <c r="W113" i="10"/>
  <c r="P113" i="10"/>
  <c r="N113" i="10"/>
  <c r="X112" i="10"/>
  <c r="W112" i="10"/>
  <c r="P112" i="10"/>
  <c r="N112" i="10"/>
  <c r="X111" i="10"/>
  <c r="AD111" i="10" s="1"/>
  <c r="W111" i="10"/>
  <c r="P111" i="10"/>
  <c r="N111" i="10"/>
  <c r="X110" i="10"/>
  <c r="W110" i="10"/>
  <c r="P110" i="10"/>
  <c r="N110" i="10"/>
  <c r="X109" i="10"/>
  <c r="W109" i="10"/>
  <c r="P109" i="10"/>
  <c r="N109" i="10"/>
  <c r="X108" i="10"/>
  <c r="W108" i="10"/>
  <c r="P108" i="10"/>
  <c r="N108" i="10"/>
  <c r="X107" i="10"/>
  <c r="W107" i="10"/>
  <c r="P107" i="10"/>
  <c r="N107" i="10"/>
  <c r="X106" i="10"/>
  <c r="W106" i="10"/>
  <c r="P106" i="10"/>
  <c r="N106" i="10"/>
  <c r="X105" i="10"/>
  <c r="W105" i="10"/>
  <c r="P105" i="10"/>
  <c r="N105" i="10"/>
  <c r="X104" i="10"/>
  <c r="W104" i="10"/>
  <c r="P104" i="10"/>
  <c r="N104" i="10"/>
  <c r="X103" i="10"/>
  <c r="W103" i="10"/>
  <c r="P103" i="10"/>
  <c r="N103" i="10"/>
  <c r="X25" i="10"/>
  <c r="W25" i="10"/>
  <c r="P25" i="10"/>
  <c r="N25" i="10"/>
  <c r="X102" i="10"/>
  <c r="W102" i="10"/>
  <c r="P102" i="10"/>
  <c r="N102" i="10"/>
  <c r="X101" i="10"/>
  <c r="W101" i="10"/>
  <c r="P101" i="10"/>
  <c r="N101" i="10"/>
  <c r="X100" i="10"/>
  <c r="W100" i="10"/>
  <c r="P100" i="10"/>
  <c r="N100" i="10"/>
  <c r="X99" i="10"/>
  <c r="W99" i="10"/>
  <c r="P99" i="10"/>
  <c r="N99" i="10"/>
  <c r="X98" i="10"/>
  <c r="W98" i="10"/>
  <c r="P98" i="10"/>
  <c r="N98" i="10"/>
  <c r="X27" i="10"/>
  <c r="W27" i="10"/>
  <c r="P27" i="10"/>
  <c r="N27" i="10"/>
  <c r="X97" i="10"/>
  <c r="W97" i="10"/>
  <c r="P97" i="10"/>
  <c r="N97" i="10"/>
  <c r="X96" i="10"/>
  <c r="W96" i="10"/>
  <c r="P96" i="10"/>
  <c r="N96" i="10"/>
  <c r="X95" i="10"/>
  <c r="W95" i="10"/>
  <c r="P95" i="10"/>
  <c r="N95" i="10"/>
  <c r="X94" i="10"/>
  <c r="W94" i="10"/>
  <c r="P94" i="10"/>
  <c r="N94" i="10"/>
  <c r="X93" i="10"/>
  <c r="W93" i="10"/>
  <c r="P93" i="10"/>
  <c r="N93" i="10"/>
  <c r="X24" i="10"/>
  <c r="W24" i="10"/>
  <c r="P24" i="10"/>
  <c r="N24" i="10"/>
  <c r="X17" i="10"/>
  <c r="W17" i="10"/>
  <c r="P17" i="10"/>
  <c r="N17" i="10"/>
  <c r="X92" i="10"/>
  <c r="W92" i="10"/>
  <c r="P92" i="10"/>
  <c r="N92" i="10"/>
  <c r="X91" i="10"/>
  <c r="W91" i="10"/>
  <c r="P91" i="10"/>
  <c r="N91" i="10"/>
  <c r="X23" i="10"/>
  <c r="W23" i="10"/>
  <c r="P23" i="10"/>
  <c r="N23" i="10"/>
  <c r="X90" i="10"/>
  <c r="W90" i="10"/>
  <c r="P90" i="10"/>
  <c r="N90" i="10"/>
  <c r="X89" i="10"/>
  <c r="W89" i="10"/>
  <c r="P89" i="10"/>
  <c r="N89" i="10"/>
  <c r="X88" i="10"/>
  <c r="W88" i="10"/>
  <c r="P88" i="10"/>
  <c r="N88" i="10"/>
  <c r="X87" i="10"/>
  <c r="W87" i="10"/>
  <c r="P87" i="10"/>
  <c r="N87" i="10"/>
  <c r="X86" i="10"/>
  <c r="W86" i="10"/>
  <c r="P86" i="10"/>
  <c r="N86" i="10"/>
  <c r="X85" i="10"/>
  <c r="W85" i="10"/>
  <c r="P85" i="10"/>
  <c r="N85" i="10"/>
  <c r="X84" i="10"/>
  <c r="W84" i="10"/>
  <c r="P84" i="10"/>
  <c r="N84" i="10"/>
  <c r="X83" i="10"/>
  <c r="W83" i="10"/>
  <c r="P83" i="10"/>
  <c r="N83" i="10"/>
  <c r="X82" i="10"/>
  <c r="W82" i="10"/>
  <c r="P82" i="10"/>
  <c r="N82" i="10"/>
  <c r="X81" i="10"/>
  <c r="W81" i="10"/>
  <c r="P81" i="10"/>
  <c r="N81" i="10"/>
  <c r="X80" i="10"/>
  <c r="W80" i="10"/>
  <c r="P80" i="10"/>
  <c r="N80" i="10"/>
  <c r="X79" i="10"/>
  <c r="W79" i="10"/>
  <c r="P79" i="10"/>
  <c r="N79" i="10"/>
  <c r="X78" i="10"/>
  <c r="W78" i="10"/>
  <c r="P78" i="10"/>
  <c r="N78" i="10"/>
  <c r="X77" i="10"/>
  <c r="W77" i="10"/>
  <c r="P77" i="10"/>
  <c r="N77" i="10"/>
  <c r="X76" i="10"/>
  <c r="W76" i="10"/>
  <c r="P76" i="10"/>
  <c r="N76" i="10"/>
  <c r="AG75" i="10"/>
  <c r="X75" i="10"/>
  <c r="W75" i="10"/>
  <c r="P75" i="10"/>
  <c r="N75" i="10"/>
  <c r="AG74" i="10"/>
  <c r="X74" i="10"/>
  <c r="W74" i="10"/>
  <c r="AD74" i="10" s="1"/>
  <c r="P74" i="10"/>
  <c r="N74" i="10"/>
  <c r="AG73" i="10"/>
  <c r="X73" i="10"/>
  <c r="W73" i="10"/>
  <c r="P73" i="10"/>
  <c r="N73" i="10"/>
  <c r="AG72" i="10"/>
  <c r="X72" i="10"/>
  <c r="W72" i="10"/>
  <c r="P72" i="10"/>
  <c r="N72" i="10"/>
  <c r="AG71" i="10"/>
  <c r="X71" i="10"/>
  <c r="W71" i="10"/>
  <c r="P71" i="10"/>
  <c r="N71" i="10"/>
  <c r="AG70" i="10"/>
  <c r="X70" i="10"/>
  <c r="W70" i="10"/>
  <c r="P70" i="10"/>
  <c r="N70" i="10"/>
  <c r="AG19" i="10"/>
  <c r="X19" i="10"/>
  <c r="W19" i="10"/>
  <c r="P19" i="10"/>
  <c r="N19" i="10"/>
  <c r="AG69" i="10"/>
  <c r="X69" i="10"/>
  <c r="W69" i="10"/>
  <c r="P69" i="10"/>
  <c r="N69" i="10"/>
  <c r="AG68" i="10"/>
  <c r="X68" i="10"/>
  <c r="W68" i="10"/>
  <c r="AC68" i="10" s="1"/>
  <c r="P68" i="10"/>
  <c r="N68" i="10"/>
  <c r="AG67" i="10"/>
  <c r="X67" i="10"/>
  <c r="W67" i="10"/>
  <c r="P67" i="10"/>
  <c r="N67" i="10"/>
  <c r="AG66" i="10"/>
  <c r="X66" i="10"/>
  <c r="W66" i="10"/>
  <c r="P66" i="10"/>
  <c r="N66" i="10"/>
  <c r="AG65" i="10"/>
  <c r="X65" i="10"/>
  <c r="W65" i="10"/>
  <c r="P65" i="10"/>
  <c r="N65" i="10"/>
  <c r="AG16" i="10"/>
  <c r="X16" i="10"/>
  <c r="W16" i="10"/>
  <c r="AD16" i="10" s="1"/>
  <c r="P16" i="10"/>
  <c r="N16" i="10"/>
  <c r="AG64" i="10"/>
  <c r="X64" i="10"/>
  <c r="W64" i="10"/>
  <c r="P64" i="10"/>
  <c r="N64" i="10"/>
  <c r="AG63" i="10"/>
  <c r="X63" i="10"/>
  <c r="W63" i="10"/>
  <c r="P63" i="10"/>
  <c r="N63" i="10"/>
  <c r="AG15" i="10"/>
  <c r="X15" i="10"/>
  <c r="W15" i="10"/>
  <c r="P15" i="10"/>
  <c r="N15" i="10"/>
  <c r="AG14" i="10"/>
  <c r="X14" i="10"/>
  <c r="W14" i="10"/>
  <c r="AC14" i="10" s="1"/>
  <c r="P14" i="10"/>
  <c r="N14" i="10"/>
  <c r="AG62" i="10"/>
  <c r="X62" i="10"/>
  <c r="W62" i="10"/>
  <c r="P62" i="10"/>
  <c r="N62" i="10"/>
  <c r="AG61" i="10"/>
  <c r="X61" i="10"/>
  <c r="W61" i="10"/>
  <c r="P61" i="10"/>
  <c r="N61" i="10"/>
  <c r="AG60" i="10"/>
  <c r="X60" i="10"/>
  <c r="W60" i="10"/>
  <c r="P60" i="10"/>
  <c r="N60" i="10"/>
  <c r="AG59" i="10"/>
  <c r="X59" i="10"/>
  <c r="W59" i="10"/>
  <c r="P59" i="10"/>
  <c r="N59" i="10"/>
  <c r="AG58" i="10"/>
  <c r="X58" i="10"/>
  <c r="W58" i="10"/>
  <c r="P58" i="10"/>
  <c r="N58" i="10"/>
  <c r="AG57" i="10"/>
  <c r="X57" i="10"/>
  <c r="W57" i="10"/>
  <c r="P57" i="10"/>
  <c r="N57" i="10"/>
  <c r="AG56" i="10"/>
  <c r="X56" i="10"/>
  <c r="W56" i="10"/>
  <c r="P56" i="10"/>
  <c r="N56" i="10"/>
  <c r="AG55" i="10"/>
  <c r="X55" i="10"/>
  <c r="W55" i="10"/>
  <c r="P55" i="10"/>
  <c r="N55" i="10"/>
  <c r="AG54" i="10"/>
  <c r="X54" i="10"/>
  <c r="W54" i="10"/>
  <c r="P54" i="10"/>
  <c r="N54" i="10"/>
  <c r="AG53" i="10"/>
  <c r="X53" i="10"/>
  <c r="W53" i="10"/>
  <c r="P53" i="10"/>
  <c r="N53" i="10"/>
  <c r="X9" i="10"/>
  <c r="W9" i="10"/>
  <c r="P9" i="10"/>
  <c r="N9" i="10"/>
  <c r="AG52" i="10"/>
  <c r="X52" i="10"/>
  <c r="W52" i="10"/>
  <c r="P52" i="10"/>
  <c r="N52" i="10"/>
  <c r="AG51" i="10"/>
  <c r="X51" i="10"/>
  <c r="W51" i="10"/>
  <c r="P51" i="10"/>
  <c r="N51" i="10"/>
  <c r="AG50" i="10"/>
  <c r="X50" i="10"/>
  <c r="W50" i="10"/>
  <c r="AD50" i="10" s="1"/>
  <c r="P50" i="10"/>
  <c r="N50" i="10"/>
  <c r="AG8" i="10"/>
  <c r="X8" i="10"/>
  <c r="W8" i="10"/>
  <c r="P8" i="10"/>
  <c r="N8" i="10"/>
  <c r="AG22" i="10"/>
  <c r="X22" i="10"/>
  <c r="W22" i="10"/>
  <c r="P22" i="10"/>
  <c r="N22" i="10"/>
  <c r="AG49" i="10"/>
  <c r="X49" i="10"/>
  <c r="W49" i="10"/>
  <c r="P49" i="10"/>
  <c r="N49" i="10"/>
  <c r="AG48" i="10"/>
  <c r="X48" i="10"/>
  <c r="W48" i="10"/>
  <c r="P48" i="10"/>
  <c r="N48" i="10"/>
  <c r="AG13" i="10"/>
  <c r="X13" i="10"/>
  <c r="W13" i="10"/>
  <c r="P13" i="10"/>
  <c r="N13" i="10"/>
  <c r="AG47" i="10"/>
  <c r="X47" i="10"/>
  <c r="W47" i="10"/>
  <c r="P47" i="10"/>
  <c r="N47" i="10"/>
  <c r="AG46" i="10"/>
  <c r="X46" i="10"/>
  <c r="W46" i="10"/>
  <c r="P46" i="10"/>
  <c r="N46" i="10"/>
  <c r="AG45" i="10"/>
  <c r="X45" i="10"/>
  <c r="W45" i="10"/>
  <c r="P45" i="10"/>
  <c r="N45" i="10"/>
  <c r="AG12" i="10"/>
  <c r="X12" i="10"/>
  <c r="W12" i="10"/>
  <c r="P12" i="10"/>
  <c r="N12" i="10"/>
  <c r="AG44" i="10"/>
  <c r="X44" i="10"/>
  <c r="W44" i="10"/>
  <c r="P44" i="10"/>
  <c r="N44" i="10"/>
  <c r="AG18" i="10"/>
  <c r="X18" i="10"/>
  <c r="W18" i="10"/>
  <c r="P18" i="10"/>
  <c r="N18" i="10"/>
  <c r="AG28" i="10"/>
  <c r="X28" i="10"/>
  <c r="W28" i="10"/>
  <c r="P28" i="10"/>
  <c r="N28" i="10"/>
  <c r="AG11" i="10"/>
  <c r="X11" i="10"/>
  <c r="W11" i="10"/>
  <c r="P11" i="10"/>
  <c r="N11" i="10"/>
  <c r="AG43" i="10"/>
  <c r="X43" i="10"/>
  <c r="W43" i="10"/>
  <c r="AD43" i="10" s="1"/>
  <c r="P43" i="10"/>
  <c r="N43" i="10"/>
  <c r="AG42" i="10"/>
  <c r="X42" i="10"/>
  <c r="W42" i="10"/>
  <c r="P42" i="10"/>
  <c r="AG7" i="10"/>
  <c r="X7" i="10"/>
  <c r="W7" i="10"/>
  <c r="P7" i="10"/>
  <c r="AG41" i="10"/>
  <c r="X41" i="10"/>
  <c r="W41" i="10"/>
  <c r="P41" i="10"/>
  <c r="AG40" i="10"/>
  <c r="X40" i="10"/>
  <c r="W40" i="10"/>
  <c r="P40" i="10"/>
  <c r="M40" i="10"/>
  <c r="AG21" i="10"/>
  <c r="X21" i="10"/>
  <c r="W21" i="10"/>
  <c r="P21" i="10"/>
  <c r="M21" i="10"/>
  <c r="AG39" i="10"/>
  <c r="X39" i="10"/>
  <c r="W39" i="10"/>
  <c r="P39" i="10"/>
  <c r="M39" i="10"/>
  <c r="AG38" i="10"/>
  <c r="X38" i="10"/>
  <c r="W38" i="10"/>
  <c r="AD38" i="10" s="1"/>
  <c r="P38" i="10"/>
  <c r="M38" i="10"/>
  <c r="AG37" i="10"/>
  <c r="X37" i="10"/>
  <c r="W37" i="10"/>
  <c r="P37" i="10"/>
  <c r="M37" i="10"/>
  <c r="AG36" i="10"/>
  <c r="X36" i="10"/>
  <c r="W36" i="10"/>
  <c r="AD36" i="10" s="1"/>
  <c r="P36" i="10"/>
  <c r="M36" i="10"/>
  <c r="AG35" i="10"/>
  <c r="X35" i="10"/>
  <c r="W35" i="10"/>
  <c r="P35" i="10"/>
  <c r="M35" i="10"/>
  <c r="AG34" i="10"/>
  <c r="X34" i="10"/>
  <c r="W34" i="10"/>
  <c r="P34" i="10"/>
  <c r="M34" i="10"/>
  <c r="AG33" i="10"/>
  <c r="X33" i="10"/>
  <c r="W33" i="10"/>
  <c r="P33" i="10"/>
  <c r="M33" i="10"/>
  <c r="AG10" i="10"/>
  <c r="X10" i="10"/>
  <c r="W10" i="10"/>
  <c r="P10" i="10"/>
  <c r="M10" i="10"/>
  <c r="AG6" i="10"/>
  <c r="X6" i="10"/>
  <c r="W6" i="10"/>
  <c r="P6" i="10"/>
  <c r="M6" i="10"/>
  <c r="AG32" i="10"/>
  <c r="X32" i="10"/>
  <c r="W32" i="10"/>
  <c r="P32" i="10"/>
  <c r="M32" i="10"/>
  <c r="AG31" i="10"/>
  <c r="X31" i="10"/>
  <c r="W31" i="10"/>
  <c r="P31" i="10"/>
  <c r="M31" i="10"/>
  <c r="AG30" i="10"/>
  <c r="X30" i="10"/>
  <c r="W30" i="10"/>
  <c r="P30" i="10"/>
  <c r="M30" i="10"/>
  <c r="AG20" i="10"/>
  <c r="X20" i="10"/>
  <c r="W20" i="10"/>
  <c r="P20" i="10"/>
  <c r="M20" i="10"/>
  <c r="AG29" i="10"/>
  <c r="X29" i="10"/>
  <c r="W29" i="10"/>
  <c r="P29" i="10"/>
  <c r="M29" i="10"/>
  <c r="AC55" i="10" l="1"/>
  <c r="AD75" i="10"/>
  <c r="AD121" i="10"/>
  <c r="AC25" i="10"/>
  <c r="AD49" i="10"/>
  <c r="AD48" i="10"/>
  <c r="AD53" i="10"/>
  <c r="AD66" i="10"/>
  <c r="AD29" i="10"/>
  <c r="AD34" i="10"/>
  <c r="AD70" i="10"/>
  <c r="AD106" i="10"/>
  <c r="AD7" i="10"/>
  <c r="AC85" i="10"/>
  <c r="AD30" i="10"/>
  <c r="AD71" i="10"/>
  <c r="AC15" i="10"/>
  <c r="AC82" i="10"/>
  <c r="AC84" i="10"/>
  <c r="AD88" i="10"/>
  <c r="AD8" i="10"/>
  <c r="AD31" i="10"/>
  <c r="AD44" i="10"/>
  <c r="AD22" i="10"/>
  <c r="AD55" i="10"/>
  <c r="AD91" i="10"/>
  <c r="AC20" i="10"/>
  <c r="AD32" i="10"/>
  <c r="AC36" i="10"/>
  <c r="AD57" i="10"/>
  <c r="AD77" i="10"/>
  <c r="AC89" i="10"/>
  <c r="AD23" i="10"/>
  <c r="AC92" i="10"/>
  <c r="AC94" i="10"/>
  <c r="AC96" i="10"/>
  <c r="AC99" i="10"/>
  <c r="AC114" i="10"/>
  <c r="AD12" i="10"/>
  <c r="AC79" i="10"/>
  <c r="AC10" i="10"/>
  <c r="AC47" i="10"/>
  <c r="AC52" i="10"/>
  <c r="AD62" i="10"/>
  <c r="AD67" i="10"/>
  <c r="AD68" i="10"/>
  <c r="AD100" i="10"/>
  <c r="AC103" i="10"/>
  <c r="AC105" i="10"/>
  <c r="AC107" i="10"/>
  <c r="AC109" i="10"/>
  <c r="AD118" i="10"/>
  <c r="AC41" i="10"/>
  <c r="AD56" i="10"/>
  <c r="AD27" i="10"/>
  <c r="AD99" i="10"/>
  <c r="AD81" i="10"/>
  <c r="AD37" i="10"/>
  <c r="AD39" i="10"/>
  <c r="AC11" i="10"/>
  <c r="AC13" i="10"/>
  <c r="AD58" i="10"/>
  <c r="AC64" i="10"/>
  <c r="AC69" i="10"/>
  <c r="AC76" i="10"/>
  <c r="AD25" i="10"/>
  <c r="AC108" i="10"/>
  <c r="AC110" i="10"/>
  <c r="AC112" i="10"/>
  <c r="AC59" i="10"/>
  <c r="AD87" i="10"/>
  <c r="AD115" i="10"/>
  <c r="AD20" i="10"/>
  <c r="AD35" i="10"/>
  <c r="AD18" i="10"/>
  <c r="AD80" i="10"/>
  <c r="AC17" i="10"/>
  <c r="AC93" i="10"/>
  <c r="AC95" i="10"/>
  <c r="AC97" i="10"/>
  <c r="AC98" i="10"/>
  <c r="AD117" i="10"/>
  <c r="AC21" i="10"/>
  <c r="AC67" i="10"/>
  <c r="AD83" i="10"/>
  <c r="AD93" i="10"/>
  <c r="AC106" i="10"/>
  <c r="AD108" i="10"/>
  <c r="AD110" i="10"/>
  <c r="AC31" i="10"/>
  <c r="AD10" i="10"/>
  <c r="AC35" i="10"/>
  <c r="AC40" i="10"/>
  <c r="AC7" i="10"/>
  <c r="AC44" i="10"/>
  <c r="AD46" i="10"/>
  <c r="AC8" i="10"/>
  <c r="AD52" i="10"/>
  <c r="AD54" i="10"/>
  <c r="AC60" i="10"/>
  <c r="AD15" i="10"/>
  <c r="AC16" i="10"/>
  <c r="AD19" i="10"/>
  <c r="AC72" i="10"/>
  <c r="AD76" i="10"/>
  <c r="AC78" i="10"/>
  <c r="AC80" i="10"/>
  <c r="AD97" i="10"/>
  <c r="AC100" i="10"/>
  <c r="AC102" i="10"/>
  <c r="AD112" i="10"/>
  <c r="AD114" i="10"/>
  <c r="AD116" i="10"/>
  <c r="AC75" i="10"/>
  <c r="AD85" i="10"/>
  <c r="AC18" i="10"/>
  <c r="AD64" i="10"/>
  <c r="AD89" i="10"/>
  <c r="AC23" i="10"/>
  <c r="AD103" i="10"/>
  <c r="AC117" i="10"/>
  <c r="AC30" i="10"/>
  <c r="AD6" i="10"/>
  <c r="AC37" i="10"/>
  <c r="AD21" i="10"/>
  <c r="AC43" i="10"/>
  <c r="AD45" i="10"/>
  <c r="AC22" i="10"/>
  <c r="AD51" i="10"/>
  <c r="AC56" i="10"/>
  <c r="AD59" i="10"/>
  <c r="AC62" i="10"/>
  <c r="AC74" i="10"/>
  <c r="AC77" i="10"/>
  <c r="AD92" i="10"/>
  <c r="AC24" i="10"/>
  <c r="AD94" i="10"/>
  <c r="AD96" i="10"/>
  <c r="AC27" i="10"/>
  <c r="AD107" i="10"/>
  <c r="AC113" i="10"/>
  <c r="AC121" i="10"/>
  <c r="AD14" i="10"/>
  <c r="AD41" i="10"/>
  <c r="AD28" i="10"/>
  <c r="AD63" i="10"/>
  <c r="AC65" i="10"/>
  <c r="AD69" i="10"/>
  <c r="AC71" i="10"/>
  <c r="AD79" i="10"/>
  <c r="AD84" i="10"/>
  <c r="AC86" i="10"/>
  <c r="AC88" i="10"/>
  <c r="AD101" i="10"/>
  <c r="AC26" i="10"/>
  <c r="AC33" i="10"/>
  <c r="AD42" i="10"/>
  <c r="AC12" i="10"/>
  <c r="AD47" i="10"/>
  <c r="AC9" i="10"/>
  <c r="AD61" i="10"/>
  <c r="AC70" i="10"/>
  <c r="AD73" i="10"/>
  <c r="AC81" i="10"/>
  <c r="AC90" i="10"/>
  <c r="AC91" i="10"/>
  <c r="AD104" i="10"/>
  <c r="AC120" i="10"/>
  <c r="AC54" i="10"/>
  <c r="AD33" i="10"/>
  <c r="AD40" i="10"/>
  <c r="AD11" i="10"/>
  <c r="AD13" i="10"/>
  <c r="AD9" i="10"/>
  <c r="AD60" i="10"/>
  <c r="AD65" i="10"/>
  <c r="AD72" i="10"/>
  <c r="AD78" i="10"/>
  <c r="AD82" i="10"/>
  <c r="AD86" i="10"/>
  <c r="AD90" i="10"/>
  <c r="AD17" i="10"/>
  <c r="AD95" i="10"/>
  <c r="AD98" i="10"/>
  <c r="AD102" i="10"/>
  <c r="AD105" i="10"/>
  <c r="AD109" i="10"/>
  <c r="AD113" i="10"/>
  <c r="AD26" i="10"/>
  <c r="AD120" i="10"/>
  <c r="AC49" i="10"/>
  <c r="AC83" i="10"/>
  <c r="AC6" i="10"/>
  <c r="AC39" i="10"/>
  <c r="AC42" i="10"/>
  <c r="AC46" i="10"/>
  <c r="AC51" i="10"/>
  <c r="AC58" i="10"/>
  <c r="AC101" i="10"/>
  <c r="AC104" i="10"/>
  <c r="AC116" i="10"/>
  <c r="AC119" i="10"/>
  <c r="AC32" i="10"/>
  <c r="AC38" i="10"/>
  <c r="AC45" i="10"/>
  <c r="AC50" i="10"/>
  <c r="AC57" i="10"/>
  <c r="AC63" i="10"/>
  <c r="AC19" i="10"/>
  <c r="AC87" i="10"/>
  <c r="AC111" i="10"/>
  <c r="AC115" i="10"/>
  <c r="AC118" i="10"/>
  <c r="AC29" i="10"/>
  <c r="AC34" i="10"/>
  <c r="AC28" i="10"/>
  <c r="AC48" i="10"/>
  <c r="AC53" i="10"/>
  <c r="AC61" i="10"/>
  <c r="AC66" i="10"/>
  <c r="AC73" i="10"/>
  <c r="AD24" i="10"/>
  <c r="K12" i="9" l="1"/>
  <c r="K11" i="9"/>
  <c r="K10" i="9"/>
  <c r="K8" i="9"/>
  <c r="K7" i="9"/>
  <c r="J7" i="9"/>
  <c r="K6" i="9"/>
  <c r="K5" i="9"/>
  <c r="K4" i="9"/>
  <c r="J4" i="9"/>
  <c r="K12" i="8"/>
  <c r="K11" i="8"/>
  <c r="K10" i="8"/>
  <c r="K8" i="8"/>
  <c r="K7" i="8"/>
  <c r="J7" i="8"/>
  <c r="K6" i="8"/>
  <c r="K5" i="8"/>
  <c r="K4" i="8"/>
  <c r="J4" i="8"/>
  <c r="K14" i="7"/>
  <c r="K13" i="7"/>
  <c r="K12" i="7"/>
  <c r="J12" i="7"/>
  <c r="K11" i="7"/>
  <c r="K10" i="7"/>
  <c r="K8" i="7"/>
  <c r="K7" i="7"/>
  <c r="J7" i="7"/>
  <c r="K6" i="7"/>
  <c r="K5" i="7"/>
  <c r="K4" i="7"/>
  <c r="J4" i="7"/>
  <c r="K14" i="6"/>
  <c r="K13" i="6"/>
  <c r="K12" i="6"/>
  <c r="J12" i="6"/>
  <c r="K11" i="6"/>
  <c r="K10" i="6"/>
  <c r="K8" i="6"/>
  <c r="K7" i="6"/>
  <c r="J7" i="6"/>
  <c r="K6" i="6"/>
  <c r="K5" i="6"/>
  <c r="K4" i="6"/>
  <c r="J4" i="6"/>
  <c r="K30" i="5"/>
  <c r="K29" i="5"/>
  <c r="K28" i="5"/>
  <c r="J28" i="5"/>
  <c r="K27" i="5"/>
  <c r="K26" i="5"/>
  <c r="K24" i="5"/>
  <c r="K23" i="5"/>
  <c r="J23" i="5"/>
  <c r="K22" i="5"/>
  <c r="K21" i="5"/>
  <c r="K20" i="5"/>
  <c r="J20" i="5"/>
  <c r="J4" i="5"/>
  <c r="K4" i="5"/>
  <c r="K5" i="5"/>
  <c r="K6" i="5"/>
  <c r="J7" i="5"/>
  <c r="K7" i="5"/>
  <c r="K8" i="5"/>
  <c r="K10" i="5"/>
  <c r="K11" i="5"/>
  <c r="J12" i="5"/>
  <c r="K12" i="5"/>
  <c r="K13" i="5"/>
  <c r="K14" i="5"/>
  <c r="J15" i="6" l="1"/>
  <c r="J13" i="9"/>
  <c r="K13" i="9"/>
  <c r="J13" i="8"/>
  <c r="K13" i="8"/>
  <c r="K15" i="6"/>
  <c r="J15" i="5"/>
  <c r="J15" i="7"/>
  <c r="K15" i="7"/>
  <c r="J31" i="5"/>
  <c r="K31" i="5"/>
  <c r="K1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Elizabeth Luna</author>
  </authors>
  <commentList>
    <comment ref="B14" authorId="0" shapeId="0" xr:uid="{2A02C899-B75A-465E-AE23-A56ED5B265A9}">
      <text>
        <r>
          <rPr>
            <sz val="11"/>
            <color indexed="81"/>
            <rFont val="Tahoma"/>
            <family val="2"/>
          </rPr>
          <t xml:space="preserve">Adecuar para varietal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Elizabeth Luna</author>
  </authors>
  <commentList>
    <comment ref="B14" authorId="0" shapeId="0" xr:uid="{09F8755F-31A8-4E3A-938B-B5059A0A900C}">
      <text>
        <r>
          <rPr>
            <sz val="11"/>
            <color indexed="81"/>
            <rFont val="Tahoma"/>
            <family val="2"/>
          </rPr>
          <t xml:space="preserve">Adecuar para varietal
</t>
        </r>
      </text>
    </comment>
    <comment ref="B30" authorId="0" shapeId="0" xr:uid="{A511F33B-6767-4EA1-98D0-57745D823BFD}">
      <text>
        <r>
          <rPr>
            <sz val="11"/>
            <color indexed="81"/>
            <rFont val="Tahoma"/>
            <family val="2"/>
          </rPr>
          <t xml:space="preserve">Adecuar para varietal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Elizabeth Luna</author>
  </authors>
  <commentList>
    <comment ref="B14" authorId="0" shapeId="0" xr:uid="{281F2EE0-DF54-48E9-B7CB-9C55702351BD}">
      <text>
        <r>
          <rPr>
            <sz val="11"/>
            <color indexed="81"/>
            <rFont val="Tahoma"/>
            <family val="2"/>
          </rPr>
          <t xml:space="preserve">Adecuar para varietal
</t>
        </r>
      </text>
    </comment>
    <comment ref="B31" authorId="0" shapeId="0" xr:uid="{DF36358A-B5C1-4AD0-B7B5-84E253A80926}">
      <text>
        <r>
          <rPr>
            <sz val="11"/>
            <color indexed="81"/>
            <rFont val="Tahoma"/>
            <family val="2"/>
          </rPr>
          <t xml:space="preserve">Adecuar para varietal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tc={7ECADEEA-1B50-4E0E-B63F-349FE941C18C}</author>
    <author>tc={A5C5E1D3-6552-4C60-890C-5CBD53AF73AC}</author>
    <author>tc={198F0F8C-3A8C-49F2-A61A-F154C61CA142}</author>
    <author>tc={D7C3E928-6B61-4270-B98A-AF4549C237D7}</author>
    <author>tc={6C398C6F-ABE6-4C73-A5CA-F30D5B677903}</author>
    <author>tc={AFC56802-1347-439E-833A-281955A0A335}</author>
    <author>tc={7D9D94ED-0BE6-4EF6-A1C2-2E64B543CBDD}</author>
    <author>tc={2C43EF1B-3483-461A-A88C-4EB4260DD6E2}</author>
    <author>tc={0D220166-AA6C-4CDE-AB36-1ED6848CF633}</author>
    <author>tc={6B14A6B6-FE87-4062-A8B3-58482867770D}</author>
    <author>tc={C4E30AF6-F7AB-4560-A376-4390B355DE2F}</author>
    <author>tc={372C0E0F-BC0D-4A33-8979-1A272A0F4542}</author>
    <author>tc={CF9E231E-A66B-490A-A0A6-99AB3D445107}</author>
    <author>tc={AF358D3F-D98A-48EE-A25E-46A2BEFD1EF7}</author>
    <author>tc={D7E57C8B-CBF0-4E83-B4AA-B8D91E358306}</author>
    <author>tc={82353DF4-DB7D-485E-BE3D-D3D3BE541549}</author>
    <author>tc={CC439170-9B18-40A2-A1B7-5FEB080633CE}</author>
    <author>tc={958063FD-D57A-48F5-8098-CB15BADCA87F}</author>
    <author>tc={DD7D253B-152F-4B13-A681-57A3E1F77403}</author>
    <author>tc={22FE3980-D406-430F-9AEF-59CE324DE5B2}</author>
    <author>tc={80C7281D-9582-494F-9CC8-88DF9AD9D324}</author>
    <author>tc={42EA78DB-3D65-4475-AEF8-40B875445B2A}</author>
    <author>tc={153A44EC-C59F-4C40-98FA-D5C6038F7542}</author>
    <author>tc={887999EC-DF84-49A4-B6F3-BAB88A753297}</author>
    <author>tc={83E79F7A-2720-411B-96BF-4309D4D8D843}</author>
    <author>tc={1E590707-884D-41CC-96E1-99148B13EF61}</author>
    <author>tc={24C0167C-6F6F-47B2-9BBA-DEEA8750D8F0}</author>
    <author>tc={30B7235F-3A71-4525-84B2-B9629727B12F}</author>
    <author>tc={ACCA8DEA-51A8-4148-A8B1-219770765664}</author>
    <author>tc={B30F1A94-13EF-4E99-8DFE-177380724907}</author>
    <author>tc={F0457974-F938-41B9-874E-FAA624C5811C}</author>
    <author>tc={D38B023A-FD9E-4B5F-A408-686835FB9F8C}</author>
    <author>tc={D5BD0A81-0DAE-4449-9F84-296CD9892DAF}</author>
    <author>tc={5BF93DE5-3424-4B43-BB13-89A428638A22}</author>
    <author>tc={EBCCB964-5117-480A-8DB1-D11599944154}</author>
    <author>tc={FAAA656F-6C68-43B4-8CC1-B3090EEA8BD7}</author>
  </authors>
  <commentList>
    <comment ref="W2" authorId="0" shapeId="0" xr:uid="{7ECADEEA-1B50-4E0E-B63F-349FE941C18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Prospero $235 x kg
</t>
      </text>
    </comment>
    <comment ref="I3" authorId="1" shapeId="0" xr:uid="{A5C5E1D3-6552-4C60-890C-5CBD53AF73A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Tanque DESVINE </t>
      </text>
    </comment>
    <comment ref="N6" authorId="2" shapeId="0" xr:uid="{198F0F8C-3A8C-49F2-A61A-F154C61CA142}">
      <text>
        <t>[Threaded comment]
Your version of Excel allows you to read this threaded comment; however, any edits to it will get removed if the file is opened in a newer version of Excel. Learn more: https://go.microsoft.com/fwlink/?linkid=870924
Comment:
    Orujo usado para BCAS viejas</t>
      </text>
    </comment>
    <comment ref="G19" authorId="3" shapeId="0" xr:uid="{D7C3E928-6B61-4270-B98A-AF4549C237D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4828L Totales
</t>
      </text>
    </comment>
    <comment ref="S19" authorId="4" shapeId="0" xr:uid="{6C398C6F-ABE6-4C73-A5CA-F30D5B677903}">
      <text>
        <t>[Threaded comment]
Your version of Excel allows you to read this threaded comment; however, any edits to it will get removed if the file is opened in a newer version of Excel. Learn more: https://go.microsoft.com/fwlink/?linkid=870924
Comment:
    Dato de corroboración después de mezclado extra</t>
      </text>
    </comment>
    <comment ref="U19" authorId="5" shapeId="0" xr:uid="{AFC56802-1347-439E-833A-281955A0A335}">
      <text>
        <t>[Threaded comment]
Your version of Excel allows you to read this threaded comment; however, any edits to it will get removed if the file is opened in a newer version of Excel. Learn more: https://go.microsoft.com/fwlink/?linkid=870924
Comment:
    Adición en recepción</t>
      </text>
    </comment>
    <comment ref="U21" authorId="6" shapeId="0" xr:uid="{7D9D94ED-0BE6-4EF6-A1C2-2E64B543CBDD}">
      <text>
        <t>[Threaded comment]
Your version of Excel allows you to read this threaded comment; however, any edits to it will get removed if the file is opened in a newer version of Excel. Learn more: https://go.microsoft.com/fwlink/?linkid=870924
Comment:
    Adición en recepción</t>
      </text>
    </comment>
    <comment ref="S23" authorId="7" shapeId="0" xr:uid="{2C43EF1B-3483-461A-A88C-4EB4260DD6E2}">
      <text>
        <t>[Threaded comment]
Your version of Excel allows you to read this threaded comment; however, any edits to it will get removed if the file is opened in a newer version of Excel. Learn more: https://go.microsoft.com/fwlink/?linkid=870924
Comment:
    Dato de corroboración mezclado extra</t>
      </text>
    </comment>
    <comment ref="U27" authorId="8" shapeId="0" xr:uid="{0D220166-AA6C-4CDE-AB36-1ED6848CF633}">
      <text>
        <t>[Threaded comment]
Your version of Excel allows you to read this threaded comment; however, any edits to it will get removed if the file is opened in a newer version of Excel. Learn more: https://go.microsoft.com/fwlink/?linkid=870924
Comment:
    Adición en molienda</t>
      </text>
    </comment>
    <comment ref="S29" authorId="9" shapeId="0" xr:uid="{6B14A6B6-FE87-4062-A8B3-58482867770D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Corroboración despues de mezclado</t>
      </text>
    </comment>
    <comment ref="U29" authorId="10" shapeId="0" xr:uid="{C4E30AF6-F7AB-4560-A376-4390B355DE2F}">
      <text>
        <t>[Threaded comment]
Your version of Excel allows you to read this threaded comment; however, any edits to it will get removed if the file is opened in a newer version of Excel. Learn more: https://go.microsoft.com/fwlink/?linkid=870924
Comment:
    Adición en molienda</t>
      </text>
    </comment>
    <comment ref="U31" authorId="11" shapeId="0" xr:uid="{372C0E0F-BC0D-4A33-8979-1A272A0F4542}">
      <text>
        <t>[Threaded comment]
Your version of Excel allows you to read this threaded comment; however, any edits to it will get removed if the file is opened in a newer version of Excel. Learn more: https://go.microsoft.com/fwlink/?linkid=870924
Comment:
    Adición en molienda</t>
      </text>
    </comment>
    <comment ref="U32" authorId="12" shapeId="0" xr:uid="{CF9E231E-A66B-490A-A0A6-99AB3D445107}">
      <text>
        <t>[Threaded comment]
Your version of Excel allows you to read this threaded comment; however, any edits to it will get removed if the file is opened in a newer version of Excel. Learn more: https://go.microsoft.com/fwlink/?linkid=870924
Comment:
    Adición en molienda</t>
      </text>
    </comment>
    <comment ref="U33" authorId="13" shapeId="0" xr:uid="{AF358D3F-D98A-48EE-A25E-46A2BEFD1EF7}">
      <text>
        <t>[Threaded comment]
Your version of Excel allows you to read this threaded comment; however, any edits to it will get removed if the file is opened in a newer version of Excel. Learn more: https://go.microsoft.com/fwlink/?linkid=870924
Comment:
    Adición en molienda</t>
      </text>
    </comment>
    <comment ref="U34" authorId="14" shapeId="0" xr:uid="{D7E57C8B-CBF0-4E83-B4AA-B8D91E358306}">
      <text>
        <t>[Threaded comment]
Your version of Excel allows you to read this threaded comment; however, any edits to it will get removed if the file is opened in a newer version of Excel. Learn more: https://go.microsoft.com/fwlink/?linkid=870924
Comment:
    Adición en molienda</t>
      </text>
    </comment>
    <comment ref="O36" authorId="15" shapeId="0" xr:uid="{82353DF4-DB7D-485E-BE3D-D3D3BE541549}">
      <text>
        <t>[Threaded comment]
Your version of Excel allows you to read this threaded comment; however, any edits to it will get removed if the file is opened in a newer version of Excel. Learn more: https://go.microsoft.com/fwlink/?linkid=870924
Comment:
    Total 16428</t>
      </text>
    </comment>
    <comment ref="F38" authorId="16" shapeId="0" xr:uid="{CC439170-9B18-40A2-A1B7-5FEB080633CE}">
      <text>
        <t>[Threaded comment]
Your version of Excel allows you to read this threaded comment; however, any edits to it will get removed if the file is opened in a newer version of Excel. Learn more: https://go.microsoft.com/fwlink/?linkid=870924
Comment:
    Se sangran 600 L</t>
      </text>
    </comment>
    <comment ref="V38" authorId="17" shapeId="0" xr:uid="{958063FD-D57A-48F5-8098-CB15BADCA87F}">
      <text>
        <t>[Threaded comment]
Your version of Excel allows you to read this threaded comment; however, any edits to it will get removed if the file is opened in a newer version of Excel. Learn more: https://go.microsoft.com/fwlink/?linkid=870924
Comment:
    Adición en recepción</t>
      </text>
    </comment>
    <comment ref="S39" authorId="18" shapeId="0" xr:uid="{DD7D253B-152F-4B13-A681-57A3E1F77403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Corroboración después de mezclado extra</t>
      </text>
    </comment>
    <comment ref="U39" authorId="19" shapeId="0" xr:uid="{22FE3980-D406-430F-9AEF-59CE324DE5B2}">
      <text>
        <t>[Threaded comment]
Your version of Excel allows you to read this threaded comment; however, any edits to it will get removed if the file is opened in a newer version of Excel. Learn more: https://go.microsoft.com/fwlink/?linkid=870924
Comment:
    Adición en recepción</t>
      </text>
    </comment>
    <comment ref="V39" authorId="20" shapeId="0" xr:uid="{80C7281D-9582-494F-9CC8-88DF9AD9D324}">
      <text>
        <t>[Threaded comment]
Your version of Excel allows you to read this threaded comment; however, any edits to it will get removed if the file is opened in a newer version of Excel. Learn more: https://go.microsoft.com/fwlink/?linkid=870924
Comment:
    17 kg de Adición en recepción</t>
      </text>
    </comment>
    <comment ref="U40" authorId="21" shapeId="0" xr:uid="{42EA78DB-3D65-4475-AEF8-40B875445B2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Adición en recepción
</t>
      </text>
    </comment>
    <comment ref="V40" authorId="22" shapeId="0" xr:uid="{153A44EC-C59F-4C40-98FA-D5C6038F7542}">
      <text>
        <t>[Threaded comment]
Your version of Excel allows you to read this threaded comment; however, any edits to it will get removed if the file is opened in a newer version of Excel. Learn more: https://go.microsoft.com/fwlink/?linkid=870924
Comment:
    Recepción  25 kg
Ajuste 12 kg</t>
      </text>
    </comment>
    <comment ref="V41" authorId="23" shapeId="0" xr:uid="{887999EC-DF84-49A4-B6F3-BAB88A753297}">
      <text>
        <t>[Threaded comment]
Your version of Excel allows you to read this threaded comment; however, any edits to it will get removed if the file is opened in a newer version of Excel. Learn more: https://go.microsoft.com/fwlink/?linkid=870924
Comment:
    Recepción 15 kg 10/oct
Ajuste 24.7 kg 11/oct</t>
      </text>
    </comment>
    <comment ref="V50" authorId="24" shapeId="0" xr:uid="{83E79F7A-2720-411B-96BF-4309D4D8D843}">
      <text>
        <t>[Threaded comment]
Your version of Excel allows you to read this threaded comment; however, any edits to it will get removed if the file is opened in a newer version of Excel. Learn more: https://go.microsoft.com/fwlink/?linkid=870924
Comment:
    11 Kg en Recepción
11 kg después de Análisis de recepción</t>
      </text>
    </comment>
    <comment ref="V51" authorId="25" shapeId="0" xr:uid="{1E590707-884D-41CC-96E1-99148B13EF61}">
      <text>
        <t>[Threaded comment]
Your version of Excel allows you to read this threaded comment; however, any edits to it will get removed if the file is opened in a newer version of Excel. Learn more: https://go.microsoft.com/fwlink/?linkid=870924
Comment:
    Adición de recepción</t>
      </text>
    </comment>
    <comment ref="H55" authorId="26" shapeId="0" xr:uid="{24C0167C-6F6F-47B2-9BBA-DEEA8750D8F0}">
      <text>
        <t>[Threaded comment]
Your version of Excel allows you to read this threaded comment; however, any edits to it will get removed if the file is opened in a newer version of Excel. Learn more: https://go.microsoft.com/fwlink/?linkid=870924
Comment:
    MIX DE VARIOS LOTES QUE NO CABIAN EN SUS TANQUES ORIGINALES Y ESTABAN MUY LLENOS</t>
      </text>
    </comment>
    <comment ref="I55" authorId="27" shapeId="0" xr:uid="{30B7235F-3A71-4525-84B2-B9629727B12F}">
      <text>
        <t>[Threaded comment]
Your version of Excel allows you to read this threaded comment; however, any edits to it will get removed if the file is opened in a newer version of Excel. Learn more: https://go.microsoft.com/fwlink/?linkid=870924
Comment:
    25TEKMP-2</t>
      </text>
    </comment>
    <comment ref="L57" authorId="28" shapeId="0" xr:uid="{ACCA8DEA-51A8-4148-A8B1-21977076566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25CSOLE-EXP-P </t>
      </text>
    </comment>
    <comment ref="F65" authorId="29" shapeId="0" xr:uid="{B30F1A94-13EF-4E99-8DFE-177380724907}">
      <text>
        <t>[Threaded comment]
Your version of Excel allows you to read this threaded comment; however, any edits to it will get removed if the file is opened in a newer version of Excel. Learn more: https://go.microsoft.com/fwlink/?linkid=870924
Comment:
    Cambia a C6 por temas de compuerta</t>
      </text>
    </comment>
    <comment ref="L71" authorId="30" shapeId="0" xr:uid="{F0457974-F938-41B9-874E-FAA624C5811C}">
      <text>
        <t>[Threaded comment]
Your version of Excel allows you to read this threaded comment; however, any edits to it will get removed if the file is opened in a newer version of Excel. Learn more: https://go.microsoft.com/fwlink/?linkid=870924
Comment:
    C5 25TEKMP-4
H6 25DUKMP-2</t>
      </text>
    </comment>
    <comment ref="C79" authorId="31" shapeId="0" xr:uid="{D38B023A-FD9E-4B5F-A408-686835FB9F8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Ingreso 16/10
</t>
      </text>
    </comment>
    <comment ref="D83" authorId="32" shapeId="0" xr:uid="{D5BD0A81-0DAE-4449-9F84-296CD9892DAF}">
      <text>
        <t>[Threaded comment]
Your version of Excel allows you to read this threaded comment; however, any edits to it will get removed if the file is opened in a newer version of Excel. Learn more: https://go.microsoft.com/fwlink/?linkid=870924
Comment:
    Relleno de tanque</t>
      </text>
    </comment>
    <comment ref="V86" authorId="33" shapeId="0" xr:uid="{5BF93DE5-3424-4B43-BB13-89A428638A22}">
      <text>
        <t>[Threaded comment]
Your version of Excel allows you to read this threaded comment; however, any edits to it will get removed if the file is opened in a newer version of Excel. Learn more: https://go.microsoft.com/fwlink/?linkid=870924
Comment:
    Adición en recepción</t>
      </text>
    </comment>
    <comment ref="V87" authorId="34" shapeId="0" xr:uid="{EBCCB964-5117-480A-8DB1-D1159994415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 recepción 15.68 kg
Ajuste 11.75
Ajuste 3.91
</t>
      </text>
    </comment>
    <comment ref="T88" authorId="35" shapeId="0" xr:uid="{FAAA656F-6C68-43B4-8CC1-B3090EEA8BD7}">
      <text>
        <t>[Threaded comment]
Your version of Excel allows you to read this threaded comment; however, any edits to it will get removed if the file is opened in a newer version of Excel. Learn more: https://go.microsoft.com/fwlink/?linkid=870924
Comment:
    Verificación de segunda medición después de mezclado extra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tc={9B49EE4F-37F3-4F73-B3A8-614624BFCBB8}</author>
    <author>tc={170076BD-4B13-465D-A2DC-DBB3FBD051B8}</author>
    <author>tc={654AA8F1-E15E-4CED-AC67-7F142153B8A7}</author>
    <author>tc={86DBB16E-4A92-41F5-AB91-9A955FCF04B2}</author>
    <author>tc={CB259435-2E6D-4C9C-B8B6-2F3B0A2A953E}</author>
    <author>tc={255AA0A6-FCB6-422E-98B6-D94851349A2A}</author>
    <author>tc={00DF96E2-BE12-49C9-A95C-F2A3873FDF31}</author>
    <author>tc={00931864-1A19-4C00-9835-873166030A77}</author>
    <author>tc={B5813FC6-EBA4-4ED9-934F-A5775C8596B1}</author>
    <author>tc={2D5FD9C4-327D-4B84-AE9A-84FA3D439AB1}</author>
    <author>tc={FC70610C-482C-4E6E-A237-487BAFFCE04E}</author>
    <author>tc={28562479-67A7-4B46-8185-4F3631755FCB}</author>
    <author>tc={2867118B-F549-437C-A73C-5876DD4AF417}</author>
    <author>tc={68F3DEA5-7ED6-4F2E-9AEC-C3E189DAD633}</author>
    <author>tc={380C61EE-8533-4F09-A321-ABE4E4C62357}</author>
    <author>tc={D5DB4FBB-EBE9-43AF-BB51-487583E0CD5C}</author>
    <author>tc={D0B8ECAB-49A0-4EA2-A357-720C8BE28558}</author>
    <author>tc={F5B98E6D-B781-45B5-87A5-862E58FB4249}</author>
    <author>tc={13383DC1-1D79-4041-B77C-551FDBAFC3D8}</author>
    <author>tc={0CE5C911-C601-4900-8AA8-7D59527BB094}</author>
    <author>tc={C4728D05-C6FF-46D8-8B8B-5543C310A432}</author>
    <author>tc={BE079203-6D68-4CEF-9DC9-48133748B09A}</author>
    <author>tc={1909854B-0786-444D-8D11-6BBE4486B315}</author>
    <author>tc={FD488FA9-9916-4758-9CA2-55CC8567A6A1}</author>
    <author>tc={6D0E54C0-E2D4-48DF-AD00-7994F5C8C214}</author>
    <author>tc={8762E1AA-34D1-4A0A-B510-9AA984C8C3CD}</author>
    <author>tc={7E330763-7A6A-4FA9-8DB8-2EA917EDBD8E}</author>
    <author>tc={10DA0772-0880-48E2-82D7-4B60F8480A4C}</author>
    <author>tc={117B208B-045C-4170-82AF-492A04656E52}</author>
    <author>tc={FCD7D0DC-70A3-4B38-897F-60456ECB5E8D}</author>
    <author>tc={4FFDD0B1-A5EB-4E8A-8D43-F144C3B87226}</author>
    <author>tc={8C716F5C-DA2F-4072-8A8B-5A729593C82C}</author>
    <author>tc={E9E113C6-B841-48B4-A2F5-1D1C9EF8315C}</author>
    <author>tc={736F3E9A-B109-4360-865A-5E5B95F24D7E}</author>
    <author>tc={0EEFAF58-BE6B-4B7D-9B9E-C3EDCE7BBC17}</author>
    <author>tc={DEB0B800-7528-4DEC-BF85-D0202358E5A7}</author>
    <author>tc={3612E46F-28CC-46D2-B5B8-F2DA6816723D}</author>
    <author>tc={CE56B133-6927-40ED-BC9A-E4B403B05F41}</author>
    <author>tc={280B014F-3C10-4C7E-B979-5A37071764FA}</author>
    <author>tc={947B6420-7398-4C18-A3FF-E5C7B9E2145C}</author>
    <author>tc={73DD476C-94A9-4D66-B952-95C983F3D974}</author>
    <author>tc={6E20BBC0-18C9-468F-8DE8-6BF309A11BF6}</author>
    <author>tc={30EC967A-20AB-415E-9A4E-C08883D73E1A}</author>
    <author>tc={72D7CD72-7525-4BE0-BC5D-54FF1EF45740}</author>
    <author>tc={922E9D06-7BA9-4BF1-AB9B-D488C8FBA93F}</author>
    <author>tc={3FE90B29-668C-4178-B6C3-DAD6A725793D}</author>
    <author>tc={748C5F74-A704-4656-9546-864114181AF7}</author>
    <author>tc={9ACFE459-6610-4339-87FC-D2DCFB62062B}</author>
    <author>tc={9930E0F1-4FF3-4947-B265-6DD14ACDDF26}</author>
    <author>tc={C8C47A8D-9C37-4562-816A-0E468D761878}</author>
    <author>tc={62344E5E-A47C-4E3D-A798-FFAC1EF41B47}</author>
    <author>tc={14F1F192-4D2D-443A-ABF6-9DE176FAFA2A}</author>
    <author>tc={32A7E712-9A82-4339-AFA5-A81B4A1224B1}</author>
    <author>tc={8B98A01D-6EFC-4B09-A039-6E54D2B6305C}</author>
    <author>tc={25C3AB4F-7982-48E5-B9E7-6CE349E45806}</author>
    <author>tc={43BE071A-F835-4AF4-BD36-0B508DBF65B1}</author>
    <author>tc={0CB2D0A3-082C-4D66-9F65-00CEE022C74F}</author>
    <author>tc={70AD5AA0-3B36-4427-B298-7467CD5C0D62}</author>
    <author>tc={E9A3FEFB-4553-4812-BA79-D84926621755}</author>
    <author>tc={C0B895B3-E638-48FC-9C2A-4357FEF7B39E}</author>
    <author>tc={E965215C-7152-4C9A-B7E5-F4B455BE4669}</author>
    <author>tc={B765F607-D86E-4924-8D1F-6E8E503D5EF8}</author>
    <author>tc={466EC67B-836F-4F0A-987C-D68FB0F5A206}</author>
    <author>tc={63368B4E-E684-4C1E-AB20-2DA8CCBF9F92}</author>
    <author>tc={7A66BB4E-1941-4CCC-8606-91AC794CD12F}</author>
  </authors>
  <commentList>
    <comment ref="R5" authorId="0" shapeId="0" xr:uid="{9B49EE4F-37F3-4F73-B3A8-614624BFCBB8}">
      <text>
        <t>[Threaded comment]
Your version of Excel allows you to read this threaded comment; however, any edits to it will get removed if the file is opened in a newer version of Excel. Learn more: https://go.microsoft.com/fwlink/?linkid=870924
Comment:
    Cubicación 1305L</t>
      </text>
    </comment>
    <comment ref="R11" authorId="1" shapeId="0" xr:uid="{170076BD-4B13-465D-A2DC-DBB3FBD051B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Cubicación 1520 L
</t>
      </text>
    </comment>
    <comment ref="AA11" authorId="2" shapeId="0" xr:uid="{654AA8F1-E15E-4CED-AC67-7F142153B8A7}">
      <text>
        <t>[Threaded comment]
Your version of Excel allows you to read this threaded comment; however, any edits to it will get removed if the file is opened in a newer version of Excel. Learn more: https://go.microsoft.com/fwlink/?linkid=870924
Comment:
    19/08/25</t>
      </text>
    </comment>
    <comment ref="AA12" authorId="3" shapeId="0" xr:uid="{86DBB16E-4A92-41F5-AB91-9A955FCF04B2}">
      <text>
        <t>[Threaded comment]
Your version of Excel allows you to read this threaded comment; however, any edits to it will get removed if the file is opened in a newer version of Excel. Learn more: https://go.microsoft.com/fwlink/?linkid=870924
Comment:
    21/08/25</t>
      </text>
    </comment>
    <comment ref="AA13" authorId="4" shapeId="0" xr:uid="{CB259435-2E6D-4C9C-B8B6-2F3B0A2A953E}">
      <text>
        <t>[Threaded comment]
Your version of Excel allows you to read this threaded comment; however, any edits to it will get removed if the file is opened in a newer version of Excel. Learn more: https://go.microsoft.com/fwlink/?linkid=870924
Comment:
    19/08/25</t>
      </text>
    </comment>
    <comment ref="R14" authorId="5" shapeId="0" xr:uid="{255AA0A6-FCB6-422E-98B6-D94851349A2A}">
      <text>
        <t>[Threaded comment]
Your version of Excel allows you to read this threaded comment; however, any edits to it will get removed if the file is opened in a newer version of Excel. Learn more: https://go.microsoft.com/fwlink/?linkid=870924
Comment:
    Cubicación 1514</t>
      </text>
    </comment>
    <comment ref="AA14" authorId="6" shapeId="0" xr:uid="{00DF96E2-BE12-49C9-A95C-F2A3873FDF31}">
      <text>
        <t>[Threaded comment]
Your version of Excel allows you to read this threaded comment; however, any edits to it will get removed if the file is opened in a newer version of Excel. Learn more: https://go.microsoft.com/fwlink/?linkid=870924
Comment:
    19/08/25</t>
      </text>
    </comment>
    <comment ref="AA16" authorId="7" shapeId="0" xr:uid="{00931864-1A19-4C00-9835-873166030A77}">
      <text>
        <t>[Threaded comment]
Your version of Excel allows you to read this threaded comment; however, any edits to it will get removed if the file is opened in a newer version of Excel. Learn more: https://go.microsoft.com/fwlink/?linkid=870924
Comment:
    22/08/25 OD 3176</t>
      </text>
    </comment>
    <comment ref="AA19" authorId="8" shapeId="0" xr:uid="{B5813FC6-EBA4-4ED9-934F-A5775C8596B1}">
      <text>
        <t>[Threaded comment]
Your version of Excel allows you to read this threaded comment; however, any edits to it will get removed if the file is opened in a newer version of Excel. Learn more: https://go.microsoft.com/fwlink/?linkid=870924
Comment:
    19/08/25</t>
      </text>
    </comment>
    <comment ref="AA22" authorId="9" shapeId="0" xr:uid="{2D5FD9C4-327D-4B84-AE9A-84FA3D439AB1}">
      <text>
        <t>[Threaded comment]
Your version of Excel allows you to read this threaded comment; however, any edits to it will get removed if the file is opened in a newer version of Excel. Learn more: https://go.microsoft.com/fwlink/?linkid=870924
Comment:
    21/08/25</t>
      </text>
    </comment>
    <comment ref="AD22" authorId="10" shapeId="0" xr:uid="{FC70610C-482C-4E6E-A237-487BAFFCE04E}">
      <text>
        <t>[Threaded comment]
Your version of Excel allows you to read this threaded comment; however, any edits to it will get removed if the file is opened in a newer version of Excel. Learn more: https://go.microsoft.com/fwlink/?linkid=870924
Comment:
    23/08/25 OD 3177</t>
      </text>
    </comment>
    <comment ref="R24" authorId="11" shapeId="0" xr:uid="{28562479-67A7-4B46-8185-4F3631755FCB}">
      <text>
        <t>[Threaded comment]
Your version of Excel allows you to read this threaded comment; however, any edits to it will get removed if the file is opened in a newer version of Excel. Learn more: https://go.microsoft.com/fwlink/?linkid=870924
Comment:
    Cubicación 1469 L</t>
      </text>
    </comment>
    <comment ref="AA24" authorId="12" shapeId="0" xr:uid="{2867118B-F549-437C-A73C-5876DD4AF41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28/08/25
</t>
      </text>
    </comment>
    <comment ref="AD24" authorId="13" shapeId="0" xr:uid="{68F3DEA5-7ED6-4F2E-9AEC-C3E189DAD633}">
      <text>
        <t>[Threaded comment]
Your version of Excel allows you to read this threaded comment; however, any edits to it will get removed if the file is opened in a newer version of Excel. Learn more: https://go.microsoft.com/fwlink/?linkid=870924
Comment:
    20/09/25</t>
      </text>
    </comment>
    <comment ref="P25" authorId="14" shapeId="0" xr:uid="{380C61EE-8533-4F09-A321-ABE4E4C62357}">
      <text>
        <t>[Threaded comment]
Your version of Excel allows you to read this threaded comment; however, any edits to it will get removed if the file is opened in a newer version of Excel. Learn more: https://go.microsoft.com/fwlink/?linkid=870924
Comment:
    Volumen neto de A5 8527L</t>
      </text>
    </comment>
    <comment ref="A26" authorId="15" shapeId="0" xr:uid="{D5DB4FBB-EBE9-43AF-BB51-487583E0CD5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Dos días de proceso 28/08
</t>
      </text>
    </comment>
    <comment ref="AA26" authorId="16" shapeId="0" xr:uid="{D0B8ECAB-49A0-4EA2-A357-720C8BE2855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29/08725
</t>
      </text>
    </comment>
    <comment ref="AD26" authorId="17" shapeId="0" xr:uid="{F5B98E6D-B781-45B5-87A5-862E58FB424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30/08/25 </t>
      </text>
    </comment>
    <comment ref="AA27" authorId="18" shapeId="0" xr:uid="{13383DC1-1D79-4041-B77C-551FDBAFC3D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30/08/25
Segunda adición igual 30/08/25 
91 gr </t>
      </text>
    </comment>
    <comment ref="AB27" authorId="19" shapeId="0" xr:uid="{0CE5C911-C601-4900-8AA8-7D59527BB09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Segunda adición 30/08/25 
39 gr </t>
      </text>
    </comment>
    <comment ref="AA28" authorId="20" shapeId="0" xr:uid="{C4728D05-C6FF-46D8-8B8B-5543C310A432}">
      <text>
        <t>[Threaded comment]
Your version of Excel allows you to read this threaded comment; however, any edits to it will get removed if the file is opened in a newer version of Excel. Learn more: https://go.microsoft.com/fwlink/?linkid=870924
Comment:
    30/08/25</t>
      </text>
    </comment>
    <comment ref="AD28" authorId="21" shapeId="0" xr:uid="{BE079203-6D68-4CEF-9DC9-48133748B09A}">
      <text>
        <t>[Threaded comment]
Your version of Excel allows you to read this threaded comment; however, any edits to it will get removed if the file is opened in a newer version of Excel. Learn more: https://go.microsoft.com/fwlink/?linkid=870924
Comment:
    31/08/25</t>
      </text>
    </comment>
    <comment ref="AA29" authorId="22" shapeId="0" xr:uid="{1909854B-0786-444D-8D11-6BBE4486B315}">
      <text>
        <t>[Threaded comment]
Your version of Excel allows you to read this threaded comment; however, any edits to it will get removed if the file is opened in a newer version of Excel. Learn more: https://go.microsoft.com/fwlink/?linkid=870924
Comment:
    30/08/25</t>
      </text>
    </comment>
    <comment ref="AA30" authorId="23" shapeId="0" xr:uid="{FD488FA9-9916-4758-9CA2-55CC8567A6A1}">
      <text>
        <t>[Threaded comment]
Your version of Excel allows you to read this threaded comment; however, any edits to it will get removed if the file is opened in a newer version of Excel. Learn more: https://go.microsoft.com/fwlink/?linkid=870924
Comment:
    02/09/25</t>
      </text>
    </comment>
    <comment ref="AA33" authorId="24" shapeId="0" xr:uid="{6D0E54C0-E2D4-48DF-AD00-7994F5C8C214}">
      <text>
        <t>[Threaded comment]
Your version of Excel allows you to read this threaded comment; however, any edits to it will get removed if the file is opened in a newer version of Excel. Learn more: https://go.microsoft.com/fwlink/?linkid=870924
Comment:
    11/09/25</t>
      </text>
    </comment>
    <comment ref="AA35" authorId="25" shapeId="0" xr:uid="{8762E1AA-34D1-4A0A-B510-9AA984C8C3CD}">
      <text>
        <t>[Threaded comment]
Your version of Excel allows you to read this threaded comment; however, any edits to it will get removed if the file is opened in a newer version of Excel. Learn more: https://go.microsoft.com/fwlink/?linkid=870924
Comment:
    12/09/25</t>
      </text>
    </comment>
    <comment ref="AD35" authorId="26" shapeId="0" xr:uid="{7E330763-7A6A-4FA9-8DB8-2EA917EDBD8E}">
      <text>
        <t>[Threaded comment]
Your version of Excel allows you to read this threaded comment; however, any edits to it will get removed if the file is opened in a newer version of Excel. Learn more: https://go.microsoft.com/fwlink/?linkid=870924
Comment:
    12/09/25</t>
      </text>
    </comment>
    <comment ref="AA36" authorId="27" shapeId="0" xr:uid="{10DA0772-0880-48E2-82D7-4B60F8480A4C}">
      <text>
        <t>[Threaded comment]
Your version of Excel allows you to read this threaded comment; however, any edits to it will get removed if the file is opened in a newer version of Excel. Learn more: https://go.microsoft.com/fwlink/?linkid=870924
Comment:
    12/09/25</t>
      </text>
    </comment>
    <comment ref="AD36" authorId="28" shapeId="0" xr:uid="{117B208B-045C-4170-82AF-492A04656E52}">
      <text>
        <t>[Threaded comment]
Your version of Excel allows you to read this threaded comment; however, any edits to it will get removed if the file is opened in a newer version of Excel. Learn more: https://go.microsoft.com/fwlink/?linkid=870924
Comment:
    12/09/25</t>
      </text>
    </comment>
    <comment ref="AA37" authorId="29" shapeId="0" xr:uid="{FCD7D0DC-70A3-4B38-897F-60456ECB5E8D}">
      <text>
        <t>[Threaded comment]
Your version of Excel allows you to read this threaded comment; however, any edits to it will get removed if the file is opened in a newer version of Excel. Learn more: https://go.microsoft.com/fwlink/?linkid=870924
Comment:
    18/09/25</t>
      </text>
    </comment>
    <comment ref="AD37" authorId="30" shapeId="0" xr:uid="{4FFDD0B1-A5EB-4E8A-8D43-F144C3B87226}">
      <text>
        <t>[Threaded comment]
Your version of Excel allows you to read this threaded comment; however, any edits to it will get removed if the file is opened in a newer version of Excel. Learn more: https://go.microsoft.com/fwlink/?linkid=870924
Comment:
    18/09/25
Segunda adición 20/09/25 
OD 3400 2.5 kg AT. Y 1 kg AM.</t>
      </text>
    </comment>
    <comment ref="AA39" authorId="31" shapeId="0" xr:uid="{8C716F5C-DA2F-4072-8A8B-5A729593C82C}">
      <text>
        <t>[Threaded comment]
Your version of Excel allows you to read this threaded comment; however, any edits to it will get removed if the file is opened in a newer version of Excel. Learn more: https://go.microsoft.com/fwlink/?linkid=870924
Comment:
    19/09/25</t>
      </text>
    </comment>
    <comment ref="U40" authorId="32" shapeId="0" xr:uid="{E9E113C6-B841-48B4-A2F5-1D1C9EF8315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junta con 25GREVA-3
</t>
      </text>
    </comment>
    <comment ref="AA40" authorId="33" shapeId="0" xr:uid="{736F3E9A-B109-4360-865A-5E5B95F24D7E}">
      <text>
        <t>[Threaded comment]
Your version of Excel allows you to read this threaded comment; however, any edits to it will get removed if the file is opened in a newer version of Excel. Learn more: https://go.microsoft.com/fwlink/?linkid=870924
Comment:
    19/09/25</t>
      </text>
    </comment>
    <comment ref="AA43" authorId="34" shapeId="0" xr:uid="{0EEFAF58-BE6B-4B7D-9B9E-C3EDCE7BBC17}">
      <text>
        <t>[Threaded comment]
Your version of Excel allows you to read this threaded comment; however, any edits to it will get removed if the file is opened in a newer version of Excel. Learn more: https://go.microsoft.com/fwlink/?linkid=870924
Comment:
    19/09/25
19/09/25 Análisis después de ajuste pH 3.49 AT. 7.80</t>
      </text>
    </comment>
    <comment ref="AD43" authorId="35" shapeId="0" xr:uid="{DEB0B800-7528-4DEC-BF85-D0202358E5A7}">
      <text>
        <t>[Threaded comment]
Your version of Excel allows you to read this threaded comment; however, any edits to it will get removed if the file is opened in a newer version of Excel. Learn more: https://go.microsoft.com/fwlink/?linkid=870924
Comment:
    21/09/25</t>
      </text>
    </comment>
    <comment ref="AA44" authorId="36" shapeId="0" xr:uid="{3612E46F-28CC-46D2-B5B8-F2DA6816723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20/09/25
Adición de acido en molienda
22/09/25 análisis pH 3.21 AT. 10.20  </t>
      </text>
    </comment>
    <comment ref="C45" authorId="37" shapeId="0" xr:uid="{CE56B133-6927-40ED-BC9A-E4B403B05F4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Cosecha 
17/09/2025
</t>
      </text>
    </comment>
    <comment ref="AA45" authorId="38" shapeId="0" xr:uid="{280B014F-3C10-4C7E-B979-5A37071764FA}">
      <text>
        <t>[Threaded comment]
Your version of Excel allows you to read this threaded comment; however, any edits to it will get removed if the file is opened in a newer version of Excel. Learn more: https://go.microsoft.com/fwlink/?linkid=870924
Comment:
    19/09/25
19/09/25 ANALISIS DESPUES DE AJUSTE
pH 3.69  AT. 7.20</t>
      </text>
    </comment>
    <comment ref="C46" authorId="39" shapeId="0" xr:uid="{947B6420-7398-4C18-A3FF-E5C7B9E2145C}">
      <text>
        <t>[Threaded comment]
Your version of Excel allows you to read this threaded comment; however, any edits to it will get removed if the file is opened in a newer version of Excel. Learn more: https://go.microsoft.com/fwlink/?linkid=870924
Comment:
    18/09/2025</t>
      </text>
    </comment>
    <comment ref="C47" authorId="40" shapeId="0" xr:uid="{73DD476C-94A9-4D66-B952-95C983F3D974}">
      <text>
        <t>[Threaded comment]
Your version of Excel allows you to read this threaded comment; however, any edits to it will get removed if the file is opened in a newer version of Excel. Learn more: https://go.microsoft.com/fwlink/?linkid=870924
Comment:
    Cosecha 18/08/2025</t>
      </text>
    </comment>
    <comment ref="AA47" authorId="41" shapeId="0" xr:uid="{6E20BBC0-18C9-468F-8DE8-6BF309A11BF6}">
      <text>
        <t>[Threaded comment]
Your version of Excel allows you to read this threaded comment; however, any edits to it will get removed if the file is opened in a newer version of Excel. Learn more: https://go.microsoft.com/fwlink/?linkid=870924
Comment:
    22/09/25
21/09/25 análisis pH 3.42 AT. 7.50
23/09/25 análisis después de ajuste pH 3.32 AT. 8.55</t>
      </text>
    </comment>
    <comment ref="C48" authorId="42" shapeId="0" xr:uid="{30EC967A-20AB-415E-9A4E-C08883D73E1A}">
      <text>
        <t>[Threaded comment]
Your version of Excel allows you to read this threaded comment; however, any edits to it will get removed if the file is opened in a newer version of Excel. Learn more: https://go.microsoft.com/fwlink/?linkid=870924
Comment:
    Recepción 18/09/2025</t>
      </text>
    </comment>
    <comment ref="C49" authorId="43" shapeId="0" xr:uid="{72D7CD72-7525-4BE0-BC5D-54FF1EF45740}">
      <text>
        <t>[Threaded comment]
Your version of Excel allows you to read this threaded comment; however, any edits to it will get removed if the file is opened in a newer version of Excel. Learn more: https://go.microsoft.com/fwlink/?linkid=870924
Comment:
    Cosecha 19/09</t>
      </text>
    </comment>
    <comment ref="AA50" authorId="44" shapeId="0" xr:uid="{922E9D06-7BA9-4BF1-AB9B-D488C8FBA93F}">
      <text>
        <t>[Threaded comment]
Your version of Excel allows you to read this threaded comment; however, any edits to it will get removed if the file is opened in a newer version of Excel. Learn more: https://go.microsoft.com/fwlink/?linkid=870924
Comment:
    20/09/25 Adición en molienda
OD 3407 4.86 Kg
21/09/25 Adición en molienda
OD 3411 2.10 kg</t>
      </text>
    </comment>
    <comment ref="AB50" authorId="45" shapeId="0" xr:uid="{3FE90B29-668C-4178-B6C3-DAD6A725793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20/09/25 Adición en molienda
OD 3407 2 Kg
21/09/25 Adición en molienda
OD 3411 900 gr
</t>
      </text>
    </comment>
    <comment ref="AA52" authorId="46" shapeId="0" xr:uid="{748C5F74-A704-4656-9546-864114181AF7}">
      <text>
        <t>[Threaded comment]
Your version of Excel allows you to read this threaded comment; however, any edits to it will get removed if the file is opened in a newer version of Excel. Learn more: https://go.microsoft.com/fwlink/?linkid=870924
Comment:
    23/09/25</t>
      </text>
    </comment>
    <comment ref="AA53" authorId="47" shapeId="0" xr:uid="{9ACFE459-6610-4339-87FC-D2DCFB62062B}">
      <text>
        <t>[Threaded comment]
Your version of Excel allows you to read this threaded comment; however, any edits to it will get removed if the file is opened in a newer version of Excel. Learn more: https://go.microsoft.com/fwlink/?linkid=870924
Comment:
    25/09/25</t>
      </text>
    </comment>
    <comment ref="AD53" authorId="48" shapeId="0" xr:uid="{9930E0F1-4FF3-4947-B265-6DD14ACDDF26}">
      <text>
        <t>[Threaded comment]
Your version of Excel allows you to read this threaded comment; however, any edits to it will get removed if the file is opened in a newer version of Excel. Learn more: https://go.microsoft.com/fwlink/?linkid=870924
Comment:
    26/09/25 6.91 kg
Análisis 26/09/25 ph 3.37 AT 6.90
29/09/25 1.48 kg
Análisis 29/09/25 pH 3.26 AT. 7.20</t>
      </text>
    </comment>
    <comment ref="AE53" authorId="49" shapeId="0" xr:uid="{C8C47A8D-9C37-4562-816A-0E468D761878}">
      <text>
        <t>[Threaded comment]
Your version of Excel allows you to read this threaded comment; however, any edits to it will get removed if the file is opened in a newer version of Excel. Learn more: https://go.microsoft.com/fwlink/?linkid=870924
Comment:
    2.96 kg
29/09/25 638 gr</t>
      </text>
    </comment>
    <comment ref="AA54" authorId="50" shapeId="0" xr:uid="{62344E5E-A47C-4E3D-A798-FFAC1EF41B47}">
      <text>
        <t>[Threaded comment]
Your version of Excel allows you to read this threaded comment; however, any edits to it will get removed if the file is opened in a newer version of Excel. Learn more: https://go.microsoft.com/fwlink/?linkid=870924
Comment:
    27/09/25 4 kg
27/09/25 OD 3456 1.85 kg
27/09/25 OD 3457 4.7 KG</t>
      </text>
    </comment>
    <comment ref="AB54" authorId="51" shapeId="0" xr:uid="{14F1F192-4D2D-443A-ABF6-9DE176FAFA2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27/09/25 1.7 kg
27/09/25 OD 3456 795 gr
27/09/25 OD 3457 2 KG
</t>
      </text>
    </comment>
    <comment ref="AD54" authorId="52" shapeId="0" xr:uid="{32A7E712-9A82-4339-AFA5-A81B4A1224B1}">
      <text>
        <t>[Threaded comment]
Your version of Excel allows you to read this threaded comment; however, any edits to it will get removed if the file is opened in a newer version of Excel. Learn more: https://go.microsoft.com/fwlink/?linkid=870924
Comment:
    28/09/25</t>
      </text>
    </comment>
    <comment ref="AA56" authorId="53" shapeId="0" xr:uid="{8B98A01D-6EFC-4B09-A039-6E54D2B6305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29/09/25 Molienda 14 kg
29/09/25 tanque 9.62 kg
</t>
      </text>
    </comment>
    <comment ref="AB56" authorId="54" shapeId="0" xr:uid="{25C3AB4F-7982-48E5-B9E7-6CE349E4580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29/09/25 Molienda 6 kg
29/09/25 tanque 4.12 kg
</t>
      </text>
    </comment>
    <comment ref="AD56" authorId="55" shapeId="0" xr:uid="{43BE071A-F835-4AF4-BD36-0B508DBF65B1}">
      <text>
        <t>[Threaded comment]
Your version of Excel allows you to read this threaded comment; however, any edits to it will get removed if the file is opened in a newer version of Excel. Learn more: https://go.microsoft.com/fwlink/?linkid=870924
Comment:
    1/10/25</t>
      </text>
    </comment>
    <comment ref="E57" authorId="56" shapeId="0" xr:uid="{0CB2D0A3-082C-4D66-9F65-00CEE022C7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Prensas</t>
      </text>
    </comment>
    <comment ref="AA57" authorId="57" shapeId="0" xr:uid="{70AD5AA0-3B36-4427-B298-7467CD5C0D6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02/10/25
</t>
      </text>
    </comment>
    <comment ref="AA58" authorId="58" shapeId="0" xr:uid="{E9A3FEFB-4553-4812-BA79-D84926621755}">
      <text>
        <t>[Threaded comment]
Your version of Excel allows you to read this threaded comment; however, any edits to it will get removed if the file is opened in a newer version of Excel. Learn more: https://go.microsoft.com/fwlink/?linkid=870924
Comment:
    01/10/25 Adición en prensa 3.3 kg
Segunda adición en prensa 3.67 kg</t>
      </text>
    </comment>
    <comment ref="AB58" authorId="59" shapeId="0" xr:uid="{C0B895B3-E638-48FC-9C2A-4357FEF7B39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01/10/25 Adición en prensa 1.4 kg
Segunda adición en prensa 1.57 kg
</t>
      </text>
    </comment>
    <comment ref="AD58" authorId="60" shapeId="0" xr:uid="{E965215C-7152-4C9A-B7E5-F4B455BE4669}">
      <text>
        <t>[Threaded comment]
Your version of Excel allows you to read this threaded comment; however, any edits to it will get removed if the file is opened in a newer version of Excel. Learn more: https://go.microsoft.com/fwlink/?linkid=870924
Comment:
    03/10/25</t>
      </text>
    </comment>
    <comment ref="C59" authorId="61" shapeId="0" xr:uid="{B765F607-D86E-4924-8D1F-6E8E503D5EF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Ingreso 30/09
</t>
      </text>
    </comment>
    <comment ref="AA62" authorId="62" shapeId="0" xr:uid="{466EC67B-836F-4F0A-987C-D68FB0F5A206}">
      <text>
        <t>[Threaded comment]
Your version of Excel allows you to read this threaded comment; however, any edits to it will get removed if the file is opened in a newer version of Excel. Learn more: https://go.microsoft.com/fwlink/?linkid=870924
Comment:
    03/10/25</t>
      </text>
    </comment>
    <comment ref="AD62" authorId="63" shapeId="0" xr:uid="{63368B4E-E684-4C1E-AB20-2DA8CCBF9F9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4-10-25
</t>
      </text>
    </comment>
    <comment ref="AD63" authorId="64" shapeId="0" xr:uid="{7A66BB4E-1941-4CCC-8606-91AC794CD12F}">
      <text>
        <t>[Threaded comment]
Your version of Excel allows you to read this threaded comment; however, any edits to it will get removed if the file is opened in a newer version of Excel. Learn more: https://go.microsoft.com/fwlink/?linkid=870924
Comment:
    6-10-25</t>
      </text>
    </comment>
  </commentList>
</comments>
</file>

<file path=xl/sharedStrings.xml><?xml version="1.0" encoding="utf-8"?>
<sst xmlns="http://schemas.openxmlformats.org/spreadsheetml/2006/main" count="3567" uniqueCount="937">
  <si>
    <t>Valle de Ojos Negros: Petit Verdot y Durif</t>
  </si>
  <si>
    <t>Criterio</t>
  </si>
  <si>
    <t>Parámetro</t>
  </si>
  <si>
    <t>Método</t>
  </si>
  <si>
    <t>A (3 pts)</t>
  </si>
  <si>
    <t>B (2 pts)</t>
  </si>
  <si>
    <t>C (1 pt)</t>
  </si>
  <si>
    <t>Resultado</t>
  </si>
  <si>
    <t>Pts Sub</t>
  </si>
  <si>
    <t>Imp</t>
  </si>
  <si>
    <t>Ponderación (%)</t>
  </si>
  <si>
    <t>Pts Total</t>
  </si>
  <si>
    <t>Puntaje total</t>
  </si>
  <si>
    <t>Clasificación</t>
  </si>
  <si>
    <t>Destino enológico</t>
  </si>
  <si>
    <t>Fisicoquímico</t>
  </si>
  <si>
    <t>Grado Brix (°Bx)</t>
  </si>
  <si>
    <t>Refractómetro</t>
  </si>
  <si>
    <t>23.5- 24.2</t>
  </si>
  <si>
    <t>22.1 - 23.4 ,   24.3-25.5</t>
  </si>
  <si>
    <t>&lt;22.0 ,  &gt;25.5</t>
  </si>
  <si>
    <t>30-36</t>
  </si>
  <si>
    <t>A+</t>
  </si>
  <si>
    <t>pH</t>
  </si>
  <si>
    <t>Potenciómetro</t>
  </si>
  <si>
    <t>≤ 3.67</t>
  </si>
  <si>
    <t>3.68 - 3.80</t>
  </si>
  <si>
    <t>&gt; 3.80</t>
  </si>
  <si>
    <t>27 – 30 pts</t>
  </si>
  <si>
    <t>A</t>
  </si>
  <si>
    <t>Acidez total (g/L)</t>
  </si>
  <si>
    <t>Titulación</t>
  </si>
  <si>
    <t>≥ 5.85</t>
  </si>
  <si>
    <t>&lt; 5.85 - 5.40</t>
  </si>
  <si>
    <t>&lt; 5.40</t>
  </si>
  <si>
    <t>23 – 26 pts</t>
  </si>
  <si>
    <t>B</t>
  </si>
  <si>
    <t>Sanidad</t>
  </si>
  <si>
    <t>Acidez volátil (g/L ácido acético)</t>
  </si>
  <si>
    <t>Enzimático</t>
  </si>
  <si>
    <t>≤ 0.00</t>
  </si>
  <si>
    <t>0.01 - 0.03</t>
  </si>
  <si>
    <t>&gt; 0.03</t>
  </si>
  <si>
    <t>≤ 22 pts</t>
  </si>
  <si>
    <t>C</t>
  </si>
  <si>
    <t>Ácido gluconico (mg/L)</t>
  </si>
  <si>
    <t>≤ 0.03</t>
  </si>
  <si>
    <t>0.04 - 0.10</t>
  </si>
  <si>
    <t>&gt; 0.10</t>
  </si>
  <si>
    <t>Estado sanitario</t>
  </si>
  <si>
    <t xml:space="preserve">Conteo </t>
  </si>
  <si>
    <t>≤ 0.5%</t>
  </si>
  <si>
    <t>0.5% - 2%</t>
  </si>
  <si>
    <t>&gt; 2%</t>
  </si>
  <si>
    <t>Visual</t>
  </si>
  <si>
    <t>Limpio</t>
  </si>
  <si>
    <t>Parcialmente limpio</t>
  </si>
  <si>
    <t xml:space="preserve">Contaminado </t>
  </si>
  <si>
    <t xml:space="preserve">Rendimiento </t>
  </si>
  <si>
    <t xml:space="preserve">Peso de baya (g) </t>
  </si>
  <si>
    <t>Métrico</t>
  </si>
  <si>
    <t>0.9 - 1.1</t>
  </si>
  <si>
    <t>(0.8 - 0.89) (1.12 - 1.2)</t>
  </si>
  <si>
    <t>&lt; 0.8 , &gt;1.2</t>
  </si>
  <si>
    <t>Fenólico</t>
  </si>
  <si>
    <t>Madurez fenólica</t>
  </si>
  <si>
    <t>Sensorial</t>
  </si>
  <si>
    <t>Sobresaliente (3 pts)</t>
  </si>
  <si>
    <t>Parcial (0 pts)</t>
  </si>
  <si>
    <t>No sobresaliente (-3 pts)</t>
  </si>
  <si>
    <t>Polifenoles</t>
  </si>
  <si>
    <t>Winexray</t>
  </si>
  <si>
    <t>≥ 2,800</t>
  </si>
  <si>
    <t>2,000 - 2,800</t>
  </si>
  <si>
    <t>&lt; 2,000</t>
  </si>
  <si>
    <t>Antocianos totales (mg/L)</t>
  </si>
  <si>
    <t>≥ 1,000</t>
  </si>
  <si>
    <t>800 - 1,000</t>
  </si>
  <si>
    <t>&lt; 800</t>
  </si>
  <si>
    <t>Valle de Ojos Negros: Cabernet Sauvignon, Malbec, Syrah, Marselan, Tempranillo</t>
  </si>
  <si>
    <t>0.9 - 1.1 (1.3-1.5 Temp)</t>
  </si>
  <si>
    <t>(0.8 - 0.89) (1.12 - 1.2) (1.0-1.2, 1.51-1.7 Temp)</t>
  </si>
  <si>
    <t>&lt; 0.8 , &gt;1.2 (&lt;1.0-&gt;1.7 Temp)</t>
  </si>
  <si>
    <t>≥ 1,900</t>
  </si>
  <si>
    <t>1,500-1,900</t>
  </si>
  <si>
    <t>&lt; 1,500</t>
  </si>
  <si>
    <t>≥ 950</t>
  </si>
  <si>
    <t>700-950</t>
  </si>
  <si>
    <t>&lt; 700</t>
  </si>
  <si>
    <t>Valle de Guadalupe: Cabernet Sauvignon, Syrah</t>
  </si>
  <si>
    <t>23.8- 24.5</t>
  </si>
  <si>
    <t xml:space="preserve">22.1 - 23.8 ,   24.6-25.9 </t>
  </si>
  <si>
    <r>
      <t xml:space="preserve">19-22 ,  </t>
    </r>
    <r>
      <rPr>
        <sz val="12"/>
        <color theme="1"/>
        <rFont val="Aptos Narrow"/>
        <family val="2"/>
      </rPr>
      <t>&gt;26</t>
    </r>
  </si>
  <si>
    <t>≤ 3.60</t>
  </si>
  <si>
    <t>3.61 - 3.73</t>
  </si>
  <si>
    <t>&gt; 3.74</t>
  </si>
  <si>
    <t>0.9 - 1.1 (*1.2-1.4 Syrah)</t>
  </si>
  <si>
    <t>(0.8 - 0.89) (1.12 - 1.2) **(1.1-1.2, 1.4-1.5 Syrah)</t>
  </si>
  <si>
    <t>&lt; 0.8 , &gt;1.2 **(&lt;1.1, &gt;1.5 Syrah)</t>
  </si>
  <si>
    <t>≥ 2,100</t>
  </si>
  <si>
    <t>1,600 - 2,100</t>
  </si>
  <si>
    <t>&lt; 1,600</t>
  </si>
  <si>
    <t>≥ 800</t>
  </si>
  <si>
    <t>600 - 800</t>
  </si>
  <si>
    <t>&lt; 600</t>
  </si>
  <si>
    <t>Valle de Ojos Negros: Merlot, Cabernet Franc, Grenache, Caladoc</t>
  </si>
  <si>
    <t>22.8- 23.5</t>
  </si>
  <si>
    <t>22.0 - 22.7 ,   23.7-24.4</t>
  </si>
  <si>
    <t>&lt;22.0 ,  &gt;24.5</t>
  </si>
  <si>
    <t>0.9 - 1.1 (1.3-1.5 Cal, Gre)</t>
  </si>
  <si>
    <t>(0.8 - 0.89) (1.12 - 1.2); (1.0-1.19, 1.51-1.7 Cal, Gre)</t>
  </si>
  <si>
    <t>&lt; 0.8 , &gt;1.2 (&lt;1.0-&gt;1.7 Gre, Cal)</t>
  </si>
  <si>
    <t>≥ 1500</t>
  </si>
  <si>
    <t>1200-1499</t>
  </si>
  <si>
    <t>&lt; 1200</t>
  </si>
  <si>
    <t>≥ 900</t>
  </si>
  <si>
    <t>600 – 899</t>
  </si>
  <si>
    <t>Valle de Guadalupe /Valle de San Vicente (SPOT): Grenache, Caladoc</t>
  </si>
  <si>
    <t>23.0- 23.7</t>
  </si>
  <si>
    <t xml:space="preserve">22.1 - 22.9 ,   23.8-24.5 </t>
  </si>
  <si>
    <t>≥ 1,800</t>
  </si>
  <si>
    <t>1400 - 1800</t>
  </si>
  <si>
    <t>&lt; 1,400</t>
  </si>
  <si>
    <t>≥ 650</t>
  </si>
  <si>
    <t>450 - 650</t>
  </si>
  <si>
    <t>&lt; 450</t>
  </si>
  <si>
    <t xml:space="preserve">Valle de Guadalupe/Valle de Ojos Negros: Sauvignon Blanc </t>
  </si>
  <si>
    <t>19 - 23.0</t>
  </si>
  <si>
    <t>(18.0-19.0) (23.0-24.5)</t>
  </si>
  <si>
    <t>(&lt; 18) (&gt;24.5)</t>
  </si>
  <si>
    <t>≤ 3.20</t>
  </si>
  <si>
    <t>3.21-3.40</t>
  </si>
  <si>
    <t>&gt; 3.41</t>
  </si>
  <si>
    <t>≥ 6.60</t>
  </si>
  <si>
    <t>&lt; 6.60 - 5.55</t>
  </si>
  <si>
    <t>&lt; 5.55</t>
  </si>
  <si>
    <t>1.1-1.35</t>
  </si>
  <si>
    <t>0.95-1.09, 1.36-1.44</t>
  </si>
  <si>
    <t>&lt;0.94, &gt;1.46</t>
  </si>
  <si>
    <t>Sobresaliente</t>
  </si>
  <si>
    <t>Adecuado</t>
  </si>
  <si>
    <t>No sobresaliente</t>
  </si>
  <si>
    <t xml:space="preserve">Valle de Guadalupe/Valle de Ojos Negros: Chardonnay, Chenin Blanc, Sauvignon Blanc (Gran Ricardo) </t>
  </si>
  <si>
    <t>22.5 - 23.5</t>
  </si>
  <si>
    <t>(21.5-22.4) (23.6-24.5)</t>
  </si>
  <si>
    <t>(&lt; 21.4) (&gt;24.6)</t>
  </si>
  <si>
    <t>≤ 3.35</t>
  </si>
  <si>
    <t>3.36 - 3.50</t>
  </si>
  <si>
    <t>&gt; 3.50</t>
  </si>
  <si>
    <t>≥ 1.4</t>
  </si>
  <si>
    <t>1.39 - 1.0</t>
  </si>
  <si>
    <t>&lt; 1.0</t>
  </si>
  <si>
    <t>Prerecepción Uva 2025</t>
  </si>
  <si>
    <t xml:space="preserve">MEDICIÓN TÉCNICA DE LA UVA </t>
  </si>
  <si>
    <t>SENSORIAL</t>
  </si>
  <si>
    <t>FISICOQUÍMICOS</t>
  </si>
  <si>
    <t xml:space="preserve">Estado de bayas </t>
  </si>
  <si>
    <t>Evaluación Semillas</t>
  </si>
  <si>
    <t>No. Reporte</t>
  </si>
  <si>
    <t>Fecha recepción de uva</t>
  </si>
  <si>
    <t>Fecha medición técnica</t>
  </si>
  <si>
    <t>Total</t>
  </si>
  <si>
    <t>Bins/Jabas</t>
  </si>
  <si>
    <t xml:space="preserve">Toneladas totales </t>
  </si>
  <si>
    <t xml:space="preserve">Proveedor </t>
  </si>
  <si>
    <t>Variedad</t>
  </si>
  <si>
    <t xml:space="preserve">Lote de campo </t>
  </si>
  <si>
    <t>Temperatura de bins/jabas (°C)</t>
  </si>
  <si>
    <t>Temperatura de camión (°C)</t>
  </si>
  <si>
    <t xml:space="preserve">Peso de racimo (g) </t>
  </si>
  <si>
    <t>Longitud promedio de 10 bayas (cm)</t>
  </si>
  <si>
    <t>Longitud promedio por baya (cm)</t>
  </si>
  <si>
    <t>Peso de 200 bayas (g)</t>
  </si>
  <si>
    <t>Peso promedio por baya (g)</t>
  </si>
  <si>
    <t xml:space="preserve">Bayas con picadura </t>
  </si>
  <si>
    <t>Bayas con enfermedades</t>
  </si>
  <si>
    <t>Bayas inmaduras</t>
  </si>
  <si>
    <t>Bayas Maduras</t>
  </si>
  <si>
    <t>Bayas sobremaduras</t>
  </si>
  <si>
    <t>Bayas pasificadas</t>
  </si>
  <si>
    <t>Bayas aceptables</t>
  </si>
  <si>
    <t>Bayas No aceptables</t>
  </si>
  <si>
    <t>Semillas verdes</t>
  </si>
  <si>
    <t>Semillas Veteadas</t>
  </si>
  <si>
    <t xml:space="preserve">Semillas Cafés </t>
  </si>
  <si>
    <t>% Semillas verdes</t>
  </si>
  <si>
    <t xml:space="preserve">%Bayas Aceptable </t>
  </si>
  <si>
    <t>%Bayas con enfermedad/picadura</t>
  </si>
  <si>
    <t>Estado sanitario (visual)</t>
  </si>
  <si>
    <t>Comentarios madurez fenólica</t>
  </si>
  <si>
    <t xml:space="preserve">Fecha análisis laboratorio </t>
  </si>
  <si>
    <t>°Brix</t>
  </si>
  <si>
    <t>AT (g/L)</t>
  </si>
  <si>
    <t>AG (g/L)</t>
  </si>
  <si>
    <t>AM (g/L)</t>
  </si>
  <si>
    <t>AV (g/L)</t>
  </si>
  <si>
    <t xml:space="preserve">AV Tanque </t>
  </si>
  <si>
    <t xml:space="preserve">Antocianinas ppm (último análisis de seguimiento de maduración) </t>
  </si>
  <si>
    <t xml:space="preserve">Antocianinas ppm (análisis de prerecepción) </t>
  </si>
  <si>
    <t>MT-25-006</t>
  </si>
  <si>
    <t>BINS</t>
  </si>
  <si>
    <t>VDG</t>
  </si>
  <si>
    <t>Sauvignon Blanc</t>
  </si>
  <si>
    <t>SBVDG-1C</t>
  </si>
  <si>
    <t>NA</t>
  </si>
  <si>
    <t xml:space="preserve">PENDIENTE, EN REVISIÓN </t>
  </si>
  <si>
    <t>-</t>
  </si>
  <si>
    <t>MT-25-018</t>
  </si>
  <si>
    <t>7L</t>
  </si>
  <si>
    <t>Chenin Blanc</t>
  </si>
  <si>
    <t>CB7L-1</t>
  </si>
  <si>
    <t>MT-25-033</t>
  </si>
  <si>
    <t>DUB</t>
  </si>
  <si>
    <t>Syrah</t>
  </si>
  <si>
    <t>SYDUB-1</t>
  </si>
  <si>
    <t>MT-25-037</t>
  </si>
  <si>
    <t>KMP</t>
  </si>
  <si>
    <t>SBKMP-3B</t>
  </si>
  <si>
    <t>NE</t>
  </si>
  <si>
    <t>MT-25-007</t>
  </si>
  <si>
    <t>JABAS</t>
  </si>
  <si>
    <t>SBVDG-1A/M3</t>
  </si>
  <si>
    <t>MT-25-021</t>
  </si>
  <si>
    <t>MT-25-025</t>
  </si>
  <si>
    <t>SY7L-2</t>
  </si>
  <si>
    <t>MT-25-029</t>
  </si>
  <si>
    <t>MT-25-048</t>
  </si>
  <si>
    <t>CBKMP-3B</t>
  </si>
  <si>
    <t>MT-25-049</t>
  </si>
  <si>
    <t>VA</t>
  </si>
  <si>
    <t>Grenache</t>
  </si>
  <si>
    <t>GREVA-3B,4B</t>
  </si>
  <si>
    <t>MT-25-052</t>
  </si>
  <si>
    <t>SYVA-1E,2D,3D,4D</t>
  </si>
  <si>
    <t>MT-25-083</t>
  </si>
  <si>
    <t>SYKMP-S721</t>
  </si>
  <si>
    <t>MT-25-023</t>
  </si>
  <si>
    <t>SBMX-1D</t>
  </si>
  <si>
    <t>MT-25-058</t>
  </si>
  <si>
    <t>ON</t>
  </si>
  <si>
    <t>GREON-6</t>
  </si>
  <si>
    <t>MT-25-002</t>
  </si>
  <si>
    <t>SBVDG-2A/2B</t>
  </si>
  <si>
    <t>MT-25-015</t>
  </si>
  <si>
    <t>SBVDG-2C</t>
  </si>
  <si>
    <t>MT-25-032</t>
  </si>
  <si>
    <t>SBVA-1B</t>
  </si>
  <si>
    <t>MT-25-080</t>
  </si>
  <si>
    <t>SYKMP-S723</t>
  </si>
  <si>
    <t>MT-25-084</t>
  </si>
  <si>
    <t>OLE</t>
  </si>
  <si>
    <t>Cabernet Sauvignon</t>
  </si>
  <si>
    <t>CSOLE-1PVCP</t>
  </si>
  <si>
    <t>MT-25-096</t>
  </si>
  <si>
    <t>Caladoc</t>
  </si>
  <si>
    <t>CAKMP-S3B</t>
  </si>
  <si>
    <t>MT-25-111</t>
  </si>
  <si>
    <t>CSKMP-2A</t>
  </si>
  <si>
    <t>MT-25-090</t>
  </si>
  <si>
    <t>Tempranillo</t>
  </si>
  <si>
    <t>TEKMP-S1</t>
  </si>
  <si>
    <t>MT-25-022</t>
  </si>
  <si>
    <t>SBMX-1A</t>
  </si>
  <si>
    <t>MT-25-001</t>
  </si>
  <si>
    <t>MT-25-003</t>
  </si>
  <si>
    <t>MT-25-004</t>
  </si>
  <si>
    <t>MT-25-005</t>
  </si>
  <si>
    <t>SBVDG-1B</t>
  </si>
  <si>
    <t>MT-25-008</t>
  </si>
  <si>
    <t>SBVDG-1C/16S</t>
  </si>
  <si>
    <t>MT-25-009</t>
  </si>
  <si>
    <t>SBVDG-4A</t>
  </si>
  <si>
    <t>MT-25-010</t>
  </si>
  <si>
    <t>SBVDG-4B</t>
  </si>
  <si>
    <t>MT-25-011</t>
  </si>
  <si>
    <t>SBVDG-3A</t>
  </si>
  <si>
    <t>MT-25-012</t>
  </si>
  <si>
    <t>SBVDG-3B</t>
  </si>
  <si>
    <t>MT-25-013</t>
  </si>
  <si>
    <t>MT-25-014</t>
  </si>
  <si>
    <t>SBVDG-4B (P.A.+P.F.)</t>
  </si>
  <si>
    <t>MT-25-016</t>
  </si>
  <si>
    <t>MT-25-017</t>
  </si>
  <si>
    <t>MT-25-019</t>
  </si>
  <si>
    <t>CB7L-A1,A2</t>
  </si>
  <si>
    <t>MT-25-020</t>
  </si>
  <si>
    <t>MT-25-024</t>
  </si>
  <si>
    <t>MT-25-026</t>
  </si>
  <si>
    <t>CSMX-5B</t>
  </si>
  <si>
    <t>MT-25-027</t>
  </si>
  <si>
    <t>CSMX-11A</t>
  </si>
  <si>
    <t>MT-25-028</t>
  </si>
  <si>
    <t>CALMX-1E</t>
  </si>
  <si>
    <t>MT-25-030</t>
  </si>
  <si>
    <t>Chardonnay</t>
  </si>
  <si>
    <t>CHKMP-SALT</t>
  </si>
  <si>
    <t>MT-25-031</t>
  </si>
  <si>
    <t>CHKMP-110R1</t>
  </si>
  <si>
    <t>MT-25-034</t>
  </si>
  <si>
    <t>Malbec</t>
  </si>
  <si>
    <t>MADUB-1</t>
  </si>
  <si>
    <t>MT-25-035</t>
  </si>
  <si>
    <t>CSMX-7B</t>
  </si>
  <si>
    <t>MT-25-036</t>
  </si>
  <si>
    <t>CHKMP-110R2</t>
  </si>
  <si>
    <t>MT-25-038</t>
  </si>
  <si>
    <t>GREMX-3B</t>
  </si>
  <si>
    <t>MT-25-039</t>
  </si>
  <si>
    <t>GREMX-1E</t>
  </si>
  <si>
    <t>MT-25-040</t>
  </si>
  <si>
    <t>Merlot</t>
  </si>
  <si>
    <t>MEKMP-S6-2</t>
  </si>
  <si>
    <t>MT-25-041</t>
  </si>
  <si>
    <t>MEVA-1A</t>
  </si>
  <si>
    <t>MT-25-042</t>
  </si>
  <si>
    <t>MEKMP-S6-1</t>
  </si>
  <si>
    <t>MT-25-043</t>
  </si>
  <si>
    <t>Marselan</t>
  </si>
  <si>
    <t>MRSKMP-S5A+</t>
  </si>
  <si>
    <t>MT-25-044</t>
  </si>
  <si>
    <t>GREVA-3A,4A</t>
  </si>
  <si>
    <t>MT-25-045</t>
  </si>
  <si>
    <t>CBKMP-3A</t>
  </si>
  <si>
    <t>MT-25-046</t>
  </si>
  <si>
    <t>MT-25-047</t>
  </si>
  <si>
    <t>MT-25-050</t>
  </si>
  <si>
    <t>MT-25-051</t>
  </si>
  <si>
    <t>SYVA-1D,2C,3C,4C</t>
  </si>
  <si>
    <t>MT-25-053</t>
  </si>
  <si>
    <t>Cabernet Franc</t>
  </si>
  <si>
    <t>CFKMP-PA</t>
  </si>
  <si>
    <t>MT-25-054</t>
  </si>
  <si>
    <t>CFKMP-PB</t>
  </si>
  <si>
    <t>MT-25-055</t>
  </si>
  <si>
    <t>SYVA-1B</t>
  </si>
  <si>
    <t>MT-25-056</t>
  </si>
  <si>
    <t>DOMINIO</t>
  </si>
  <si>
    <t>SYUC-L13,14</t>
  </si>
  <si>
    <t>MT-25-057</t>
  </si>
  <si>
    <t>SYUC-L5</t>
  </si>
  <si>
    <t>MT-25-059</t>
  </si>
  <si>
    <t>MEVA-2A</t>
  </si>
  <si>
    <t>MT-25-060</t>
  </si>
  <si>
    <t>MEON-1</t>
  </si>
  <si>
    <t>MT-25-061</t>
  </si>
  <si>
    <t>MT-25-062</t>
  </si>
  <si>
    <t>MT-25-063</t>
  </si>
  <si>
    <t>TEON-5</t>
  </si>
  <si>
    <t>MT-25-064</t>
  </si>
  <si>
    <t>MT-25-065</t>
  </si>
  <si>
    <t>MT-25-066</t>
  </si>
  <si>
    <t>SYON-4</t>
  </si>
  <si>
    <t>MT-25-067</t>
  </si>
  <si>
    <t>CSOLE.1</t>
  </si>
  <si>
    <t>MT-25-068</t>
  </si>
  <si>
    <t>CSOLE-2</t>
  </si>
  <si>
    <t>MT-25-069</t>
  </si>
  <si>
    <t>MT-25-070</t>
  </si>
  <si>
    <t>MT-25-071</t>
  </si>
  <si>
    <t>CSOLE-3</t>
  </si>
  <si>
    <t>MT-25-072</t>
  </si>
  <si>
    <t>CSOLE-4</t>
  </si>
  <si>
    <t>MT-25-073</t>
  </si>
  <si>
    <t>Durif</t>
  </si>
  <si>
    <t>DUKMP-2B</t>
  </si>
  <si>
    <t>MT-25-074</t>
  </si>
  <si>
    <t xml:space="preserve">Petit Verdot </t>
  </si>
  <si>
    <t>PVKMP-3A</t>
  </si>
  <si>
    <t>MT-25-075</t>
  </si>
  <si>
    <t>PVVA-1C</t>
  </si>
  <si>
    <t>MT-25-076</t>
  </si>
  <si>
    <t>MT-25-077</t>
  </si>
  <si>
    <t>MT-25-078</t>
  </si>
  <si>
    <t>MAON-2</t>
  </si>
  <si>
    <t>MT-25-079</t>
  </si>
  <si>
    <t>MT-25-081</t>
  </si>
  <si>
    <t>DUKMP-S7</t>
  </si>
  <si>
    <t>MT-25-082</t>
  </si>
  <si>
    <t>MT-25-085</t>
  </si>
  <si>
    <t>CSOLE-1CP</t>
  </si>
  <si>
    <t>MT-25-086</t>
  </si>
  <si>
    <t>CSOLE-2PVSP</t>
  </si>
  <si>
    <t>MT-25-087</t>
  </si>
  <si>
    <t>CSOLE-2SP</t>
  </si>
  <si>
    <t>MT-25-088</t>
  </si>
  <si>
    <t>CSOLE-3CP</t>
  </si>
  <si>
    <t>MT-25-089</t>
  </si>
  <si>
    <t>CSOLE-4SP</t>
  </si>
  <si>
    <t>MT-25-091</t>
  </si>
  <si>
    <t>TEKMP-S1-R</t>
  </si>
  <si>
    <t>MT-25-092</t>
  </si>
  <si>
    <t>MRSKMP-S5B-</t>
  </si>
  <si>
    <t>MT-25-093</t>
  </si>
  <si>
    <t>MRSKMP-S4-R</t>
  </si>
  <si>
    <t>MT-25-094</t>
  </si>
  <si>
    <t>MAKMP-S7</t>
  </si>
  <si>
    <t>MT-25-095</t>
  </si>
  <si>
    <t>CSKMP-S8-1</t>
  </si>
  <si>
    <t>MT-25-097</t>
  </si>
  <si>
    <t>CSKMP-S8-1-R</t>
  </si>
  <si>
    <t>MT-25-098</t>
  </si>
  <si>
    <t>CSKMP-S8-1-MATURE</t>
  </si>
  <si>
    <t>MT-25-099</t>
  </si>
  <si>
    <t>CSKMP-S8-1-BIOTEKSA</t>
  </si>
  <si>
    <t>MT-25-100</t>
  </si>
  <si>
    <t>MT-25-101</t>
  </si>
  <si>
    <t>CFVA-2B-S1</t>
  </si>
  <si>
    <t>MT-25-102</t>
  </si>
  <si>
    <t>CFVA-2B-S2</t>
  </si>
  <si>
    <t>MT-25-103</t>
  </si>
  <si>
    <t>CFVA-2B-S3</t>
  </si>
  <si>
    <t>MT-25-104</t>
  </si>
  <si>
    <t>CFVA-5A</t>
  </si>
  <si>
    <t>MT-25-105</t>
  </si>
  <si>
    <t>CFVA-5B</t>
  </si>
  <si>
    <t>MT-25-106</t>
  </si>
  <si>
    <t>MT-25-107</t>
  </si>
  <si>
    <t>MT-25-108</t>
  </si>
  <si>
    <t>CSKMP-S8-1-ABA</t>
  </si>
  <si>
    <t>MT-25-109</t>
  </si>
  <si>
    <t>CSON-3</t>
  </si>
  <si>
    <t>MT-25-110</t>
  </si>
  <si>
    <t>MT-25-112</t>
  </si>
  <si>
    <t>MT-25-113</t>
  </si>
  <si>
    <t>CSKMP-2B</t>
  </si>
  <si>
    <t>MT-25-114</t>
  </si>
  <si>
    <t>CSKMP-2B-ALIVIO</t>
  </si>
  <si>
    <t>MT-25-115</t>
  </si>
  <si>
    <t>MT-25-116</t>
  </si>
  <si>
    <t>CSKMP-2A-RALEO</t>
  </si>
  <si>
    <t xml:space="preserve">     </t>
  </si>
  <si>
    <t>Recepción Tanques 2025</t>
  </si>
  <si>
    <t xml:space="preserve">Reporte </t>
  </si>
  <si>
    <t>Fecha</t>
  </si>
  <si>
    <t>Lote de viñedo 1</t>
  </si>
  <si>
    <t>Lote de viñedo 2</t>
  </si>
  <si>
    <t>Lote de viñedo 3</t>
  </si>
  <si>
    <t>Lote de viñedo 4</t>
  </si>
  <si>
    <t>Código 
(lote de bodega)</t>
  </si>
  <si>
    <t>Tanque</t>
  </si>
  <si>
    <t>Proveedor</t>
  </si>
  <si>
    <t>A.T.</t>
  </si>
  <si>
    <t>A.G.</t>
  </si>
  <si>
    <t>A.M.</t>
  </si>
  <si>
    <t>A.V.</t>
  </si>
  <si>
    <t xml:space="preserve">Polifenoles WX (Final de Fermentación Alcohólica) </t>
  </si>
  <si>
    <t xml:space="preserve">Antocianinas WX (Final de Fermentación Alcohólica) </t>
  </si>
  <si>
    <t>Acidificado en recepción (SI/NO)</t>
  </si>
  <si>
    <t>P010 (KG)</t>
  </si>
  <si>
    <t>RRT-001</t>
  </si>
  <si>
    <t>SBMX-2A/2B</t>
  </si>
  <si>
    <t>25SBVDG-1</t>
  </si>
  <si>
    <t>D1</t>
  </si>
  <si>
    <t>RRT-002</t>
  </si>
  <si>
    <t>25SBVDG-2</t>
  </si>
  <si>
    <t>RRT-003</t>
  </si>
  <si>
    <t>RRT-004</t>
  </si>
  <si>
    <t>SBMX-1C</t>
  </si>
  <si>
    <t>25SBVDG-3</t>
  </si>
  <si>
    <t>D4</t>
  </si>
  <si>
    <t>RRT-005</t>
  </si>
  <si>
    <t>SBMX-1B</t>
  </si>
  <si>
    <t>RRT-006</t>
  </si>
  <si>
    <t>25SBVDG-4</t>
  </si>
  <si>
    <t>D5</t>
  </si>
  <si>
    <t>RRT-007</t>
  </si>
  <si>
    <t>25SBVDG-5</t>
  </si>
  <si>
    <t>B4</t>
  </si>
  <si>
    <t>RRT-008</t>
  </si>
  <si>
    <t>25SBVDG-6</t>
  </si>
  <si>
    <t>A3</t>
  </si>
  <si>
    <t>RRT-009</t>
  </si>
  <si>
    <t>SBMX-4A</t>
  </si>
  <si>
    <t>SBMX-4B</t>
  </si>
  <si>
    <t>25SBVDG-7</t>
  </si>
  <si>
    <t>C2</t>
  </si>
  <si>
    <t>RRT-010</t>
  </si>
  <si>
    <t>SBMX-3A</t>
  </si>
  <si>
    <t xml:space="preserve">SBMX-3B </t>
  </si>
  <si>
    <t>25SBVDG-8</t>
  </si>
  <si>
    <t>C3</t>
  </si>
  <si>
    <t>RRT-011</t>
  </si>
  <si>
    <t>SBMX-3B</t>
  </si>
  <si>
    <t>SBMX-3A-EXP</t>
  </si>
  <si>
    <t>SBMX-4B-EXP</t>
  </si>
  <si>
    <t>25SBVDG-9</t>
  </si>
  <si>
    <t>RRT-012</t>
  </si>
  <si>
    <t>SBMX-2C</t>
  </si>
  <si>
    <t>25SBVDG-10</t>
  </si>
  <si>
    <t>C5</t>
  </si>
  <si>
    <t>RRT-013</t>
  </si>
  <si>
    <t>25CB7L-1</t>
  </si>
  <si>
    <t>RRT-014</t>
  </si>
  <si>
    <t>CB7L-A1A2</t>
  </si>
  <si>
    <t>25CB7L-2</t>
  </si>
  <si>
    <t>A5</t>
  </si>
  <si>
    <t>RRT-015</t>
  </si>
  <si>
    <t>25SBVDG-11</t>
  </si>
  <si>
    <t>B5</t>
  </si>
  <si>
    <t>RRT-016</t>
  </si>
  <si>
    <t>25CB7L-N-1</t>
  </si>
  <si>
    <t>BCA</t>
  </si>
  <si>
    <t>RRT-017</t>
  </si>
  <si>
    <t>25CB7L-N-2</t>
  </si>
  <si>
    <t>RRT-018</t>
  </si>
  <si>
    <t>B1</t>
  </si>
  <si>
    <t>RRT-019</t>
  </si>
  <si>
    <t>25SBVDG-12</t>
  </si>
  <si>
    <t>E1</t>
  </si>
  <si>
    <t>RRT-020</t>
  </si>
  <si>
    <t>CB7L-A1-A2</t>
  </si>
  <si>
    <t>25SBVDG-13</t>
  </si>
  <si>
    <t>RRT-021</t>
  </si>
  <si>
    <t>25SY7L-1</t>
  </si>
  <si>
    <t>NO</t>
  </si>
  <si>
    <t>RRT-022</t>
  </si>
  <si>
    <t>25SY7L-2</t>
  </si>
  <si>
    <t>E2</t>
  </si>
  <si>
    <t>RRT-023</t>
  </si>
  <si>
    <t>25CSVDG-1</t>
  </si>
  <si>
    <t>RRT-024</t>
  </si>
  <si>
    <t>25CSVDG-2</t>
  </si>
  <si>
    <t>E4</t>
  </si>
  <si>
    <t>RRT-025</t>
  </si>
  <si>
    <t>25SBKMP-1</t>
  </si>
  <si>
    <t>A4</t>
  </si>
  <si>
    <t>RRT-026</t>
  </si>
  <si>
    <t>25CAVDG-1</t>
  </si>
  <si>
    <t>BIN</t>
  </si>
  <si>
    <t>SI</t>
  </si>
  <si>
    <t>RRT-027</t>
  </si>
  <si>
    <t xml:space="preserve">PRENSADO DE </t>
  </si>
  <si>
    <t>CHKMP-S5 Salt Creek</t>
  </si>
  <si>
    <t>CHKMP-S5 110R</t>
  </si>
  <si>
    <t>25PIQUETA-2</t>
  </si>
  <si>
    <t>RRT-028</t>
  </si>
  <si>
    <t>25CHKMP-1</t>
  </si>
  <si>
    <t>RRT-029</t>
  </si>
  <si>
    <t>25MADUB-1</t>
  </si>
  <si>
    <t>RRT-030</t>
  </si>
  <si>
    <t>25MADUB-2</t>
  </si>
  <si>
    <t>RRT-031</t>
  </si>
  <si>
    <t>25CSVDG-3</t>
  </si>
  <si>
    <t>A8</t>
  </si>
  <si>
    <t>RRT-032</t>
  </si>
  <si>
    <t>25CSVDG-4</t>
  </si>
  <si>
    <t>RRT-033</t>
  </si>
  <si>
    <t>25MEVA-1</t>
  </si>
  <si>
    <t>RRT-034</t>
  </si>
  <si>
    <t>MEKMP-2</t>
  </si>
  <si>
    <t>MEKMP-1</t>
  </si>
  <si>
    <t>25MEKMP-1</t>
  </si>
  <si>
    <t>RRT-035</t>
  </si>
  <si>
    <t>RRT-036</t>
  </si>
  <si>
    <t>RRT-037</t>
  </si>
  <si>
    <t>CHKMP-S2</t>
  </si>
  <si>
    <t>25CHKMP-2</t>
  </si>
  <si>
    <t>A1</t>
  </si>
  <si>
    <t>RRT-038</t>
  </si>
  <si>
    <t>RRT-039</t>
  </si>
  <si>
    <t>MRSKMP-5</t>
  </si>
  <si>
    <t>25MRSKMP-1</t>
  </si>
  <si>
    <t>RRT-040</t>
  </si>
  <si>
    <t>GREVA-3A/4A</t>
  </si>
  <si>
    <t>25GREVA-1</t>
  </si>
  <si>
    <t>D2</t>
  </si>
  <si>
    <t>RRT-041</t>
  </si>
  <si>
    <t>MIX</t>
  </si>
  <si>
    <t>25CHKMPP-1</t>
  </si>
  <si>
    <t>E7</t>
  </si>
  <si>
    <t>RRT-042</t>
  </si>
  <si>
    <t>25CBKMP-1</t>
  </si>
  <si>
    <t>A7</t>
  </si>
  <si>
    <t>RRT-043</t>
  </si>
  <si>
    <t>25GREVA-2</t>
  </si>
  <si>
    <t>B6</t>
  </si>
  <si>
    <t>RRT-044</t>
  </si>
  <si>
    <t>25GREVAP-1</t>
  </si>
  <si>
    <t>RRT-045</t>
  </si>
  <si>
    <t>RRT-046</t>
  </si>
  <si>
    <t>RRT-047</t>
  </si>
  <si>
    <t>25CBKMP-2</t>
  </si>
  <si>
    <t>E3</t>
  </si>
  <si>
    <t>RRT-048</t>
  </si>
  <si>
    <t>GREVA-3B/4B</t>
  </si>
  <si>
    <t>25GREVA-4</t>
  </si>
  <si>
    <t>A6</t>
  </si>
  <si>
    <t>RRT-049</t>
  </si>
  <si>
    <t>25GREVA-3</t>
  </si>
  <si>
    <t>RRT-050</t>
  </si>
  <si>
    <t>MEKMP-S2</t>
  </si>
  <si>
    <t>25MEKMP-2</t>
  </si>
  <si>
    <t>RRT-051</t>
  </si>
  <si>
    <t>RRT-052</t>
  </si>
  <si>
    <t>RRT-053</t>
  </si>
  <si>
    <t>25SYVA-1</t>
  </si>
  <si>
    <t>C6</t>
  </si>
  <si>
    <t>RRT-054</t>
  </si>
  <si>
    <t>RRT-055</t>
  </si>
  <si>
    <t>RRT-056</t>
  </si>
  <si>
    <t>25SYVA-2</t>
  </si>
  <si>
    <t>C7</t>
  </si>
  <si>
    <t>RRT-057</t>
  </si>
  <si>
    <t>25CFKMP-1</t>
  </si>
  <si>
    <t>RRT-058</t>
  </si>
  <si>
    <t>25CFKMP-2</t>
  </si>
  <si>
    <t>RRT-059</t>
  </si>
  <si>
    <t>SYVA-1E-2D-3D-4D</t>
  </si>
  <si>
    <t>25SYVA-3</t>
  </si>
  <si>
    <t>RRT-060</t>
  </si>
  <si>
    <t>SYCU-L5</t>
  </si>
  <si>
    <t>25SYUCORG-1</t>
  </si>
  <si>
    <t>UC</t>
  </si>
  <si>
    <t>RRT-061</t>
  </si>
  <si>
    <t>25GREON-1</t>
  </si>
  <si>
    <t>E5</t>
  </si>
  <si>
    <t>RRT-062</t>
  </si>
  <si>
    <t>25MEVA-2</t>
  </si>
  <si>
    <t>RRT-063</t>
  </si>
  <si>
    <t>25MEON-1</t>
  </si>
  <si>
    <t>RRT-064</t>
  </si>
  <si>
    <t>RRT-065</t>
  </si>
  <si>
    <t xml:space="preserve">MIX </t>
  </si>
  <si>
    <t>25GREVAP-2</t>
  </si>
  <si>
    <t>RRT-066</t>
  </si>
  <si>
    <t>25TEON-1</t>
  </si>
  <si>
    <t>RRT-067</t>
  </si>
  <si>
    <t>25TEON-2</t>
  </si>
  <si>
    <t>RRT-068</t>
  </si>
  <si>
    <t>RRT-069</t>
  </si>
  <si>
    <t>RRT-070</t>
  </si>
  <si>
    <t>25MRSKMP-2</t>
  </si>
  <si>
    <t xml:space="preserve">ROSADO </t>
  </si>
  <si>
    <t>RRT-071</t>
  </si>
  <si>
    <t>25MEKMP-3</t>
  </si>
  <si>
    <t>RRT-072</t>
  </si>
  <si>
    <t>TEKMP-1</t>
  </si>
  <si>
    <t>25TEKMP-1</t>
  </si>
  <si>
    <t>RRT-073</t>
  </si>
  <si>
    <t>25TEKMPP-1</t>
  </si>
  <si>
    <t>TIB 2</t>
  </si>
  <si>
    <t>RRT-074</t>
  </si>
  <si>
    <t>25SYON-1</t>
  </si>
  <si>
    <t>RRT-075</t>
  </si>
  <si>
    <t>25SYON-2</t>
  </si>
  <si>
    <t>RRT-076</t>
  </si>
  <si>
    <t>CSOLE-1</t>
  </si>
  <si>
    <t>25CSOLE-1</t>
  </si>
  <si>
    <t>RRT-077</t>
  </si>
  <si>
    <t>25CSOLEP-1</t>
  </si>
  <si>
    <t>TIB 13</t>
  </si>
  <si>
    <t>RRT-078</t>
  </si>
  <si>
    <t>25CSOLE-2</t>
  </si>
  <si>
    <t>RRT-079</t>
  </si>
  <si>
    <t>RRT-080</t>
  </si>
  <si>
    <t>25DUKMP-1</t>
  </si>
  <si>
    <t>RRT-081</t>
  </si>
  <si>
    <t>25DUKMP-2</t>
  </si>
  <si>
    <t>D3</t>
  </si>
  <si>
    <t>RRT-082</t>
  </si>
  <si>
    <t>25PVKMP-1</t>
  </si>
  <si>
    <t>Petit Verdot</t>
  </si>
  <si>
    <t>RRT-083</t>
  </si>
  <si>
    <t>25PVVA-1</t>
  </si>
  <si>
    <t>D7</t>
  </si>
  <si>
    <t>RRT-084</t>
  </si>
  <si>
    <t>25MRSKMP-3</t>
  </si>
  <si>
    <t>RRT-085</t>
  </si>
  <si>
    <t>25TEKMP-2</t>
  </si>
  <si>
    <t>RRT-086</t>
  </si>
  <si>
    <t>25MAON-1</t>
  </si>
  <si>
    <t>C4</t>
  </si>
  <si>
    <t>RRT-087</t>
  </si>
  <si>
    <t>SYKMP-S7-23</t>
  </si>
  <si>
    <t>25SYKMP-1</t>
  </si>
  <si>
    <t>RRT-088</t>
  </si>
  <si>
    <t>SYKMP-S7-21</t>
  </si>
  <si>
    <t>25SYKMP-2</t>
  </si>
  <si>
    <t>RRT-089</t>
  </si>
  <si>
    <t>SYKMP-21-R</t>
  </si>
  <si>
    <t>25SYKMP-3</t>
  </si>
  <si>
    <t>RRT-090</t>
  </si>
  <si>
    <t>25SYKMP-4</t>
  </si>
  <si>
    <t>F8</t>
  </si>
  <si>
    <t>RRT-091</t>
  </si>
  <si>
    <t>25DUKMP-3</t>
  </si>
  <si>
    <t>RRT-092</t>
  </si>
  <si>
    <t>25TEKMP-3</t>
  </si>
  <si>
    <t>A2</t>
  </si>
  <si>
    <t>RRT-093</t>
  </si>
  <si>
    <t>25TEKMP-4</t>
  </si>
  <si>
    <t>RRT-094</t>
  </si>
  <si>
    <t>CSOLEPVCP-1</t>
  </si>
  <si>
    <t>25CSOLE-EXP-1</t>
  </si>
  <si>
    <t xml:space="preserve">BIN 1 </t>
  </si>
  <si>
    <t>RRT-095</t>
  </si>
  <si>
    <t>CSOLEPVCP-2</t>
  </si>
  <si>
    <t>25CSOLE-EXP-2</t>
  </si>
  <si>
    <t>BIN 2</t>
  </si>
  <si>
    <t>RRT-096</t>
  </si>
  <si>
    <t>CSOLECP-3</t>
  </si>
  <si>
    <t>25CSOLE-EXP-3</t>
  </si>
  <si>
    <t>BIN 3</t>
  </si>
  <si>
    <t>RRT-097</t>
  </si>
  <si>
    <t>25CSOLE-EXP-4</t>
  </si>
  <si>
    <t>BIN 4</t>
  </si>
  <si>
    <t>RRT-098</t>
  </si>
  <si>
    <t>CSOLECP-1</t>
  </si>
  <si>
    <t>25CSOLE-EXP-5</t>
  </si>
  <si>
    <t>BIN 5</t>
  </si>
  <si>
    <t>RRT-099</t>
  </si>
  <si>
    <t>CSOLESP-2</t>
  </si>
  <si>
    <t>25CSOLE-EXP-6</t>
  </si>
  <si>
    <t>BIN 6</t>
  </si>
  <si>
    <t>RRT-100</t>
  </si>
  <si>
    <t>CSOLESP-4</t>
  </si>
  <si>
    <t>25CSOLE-EXP-7</t>
  </si>
  <si>
    <t>BIN 7</t>
  </si>
  <si>
    <t>RRT-101</t>
  </si>
  <si>
    <t>25CSOLE-EXP-8</t>
  </si>
  <si>
    <t>BIN 8</t>
  </si>
  <si>
    <t>RRT-102</t>
  </si>
  <si>
    <t>TEKMP-1R</t>
  </si>
  <si>
    <t>25TEKMP-5</t>
  </si>
  <si>
    <t xml:space="preserve">BIN </t>
  </si>
  <si>
    <t>RRT-103</t>
  </si>
  <si>
    <t>25DUKMP-4</t>
  </si>
  <si>
    <t>RRT-104</t>
  </si>
  <si>
    <t>25MRSKMP-4</t>
  </si>
  <si>
    <t>RRT-105</t>
  </si>
  <si>
    <t>25MRSKMP-5</t>
  </si>
  <si>
    <t>RRT-106</t>
  </si>
  <si>
    <t>25MAKMP-1</t>
  </si>
  <si>
    <t>RRT-107</t>
  </si>
  <si>
    <t>CSKMP-S8-1 Biotecsa</t>
  </si>
  <si>
    <t>25CSKMP-EXP-1</t>
  </si>
  <si>
    <t>RRT-108</t>
  </si>
  <si>
    <t>CSKMP-S8-1 Mature</t>
  </si>
  <si>
    <t>25CSKMP-EXP-2</t>
  </si>
  <si>
    <t>RRT-109</t>
  </si>
  <si>
    <t>CSKMP-S8-1 Raleado</t>
  </si>
  <si>
    <t>25CSKMP-EXP-3</t>
  </si>
  <si>
    <t>RRT-110</t>
  </si>
  <si>
    <t>CAKMP-3B</t>
  </si>
  <si>
    <t>25CAKMP-1</t>
  </si>
  <si>
    <t>RRT-111</t>
  </si>
  <si>
    <t>25CAKMP-2</t>
  </si>
  <si>
    <t>RRT-112</t>
  </si>
  <si>
    <t>25CFVA-1</t>
  </si>
  <si>
    <t>RRT-113</t>
  </si>
  <si>
    <t>25CFVA-2</t>
  </si>
  <si>
    <t>RRT-114</t>
  </si>
  <si>
    <t>25CFVA-3</t>
  </si>
  <si>
    <t>RRT-115</t>
  </si>
  <si>
    <t>CSKMP-S8 ABA</t>
  </si>
  <si>
    <t>25CSKMP-EXP-4</t>
  </si>
  <si>
    <t>RRT-116</t>
  </si>
  <si>
    <t>CSKMP-S8</t>
  </si>
  <si>
    <t>25CSKMP-1</t>
  </si>
  <si>
    <t xml:space="preserve">E8 </t>
  </si>
  <si>
    <t>RRT-117</t>
  </si>
  <si>
    <t>25CSKMP-2</t>
  </si>
  <si>
    <t>E9</t>
  </si>
  <si>
    <t>RRT-118</t>
  </si>
  <si>
    <t>25CSON-1</t>
  </si>
  <si>
    <t xml:space="preserve">ON </t>
  </si>
  <si>
    <t>RRT-119</t>
  </si>
  <si>
    <t>25CSON-2</t>
  </si>
  <si>
    <t>RRT-120</t>
  </si>
  <si>
    <t>25CSON-3</t>
  </si>
  <si>
    <t>RRT-121</t>
  </si>
  <si>
    <t>25CSON-4</t>
  </si>
  <si>
    <t>RRT-122</t>
  </si>
  <si>
    <t>25CSKMP-3</t>
  </si>
  <si>
    <t>RRT-123</t>
  </si>
  <si>
    <t>25CSKMP-4</t>
  </si>
  <si>
    <t>RRT-124</t>
  </si>
  <si>
    <t>25CSKMP-5</t>
  </si>
  <si>
    <t>RRT-125</t>
  </si>
  <si>
    <t>CSKMP-2A-ALIVIO</t>
  </si>
  <si>
    <t>25CSKMP-EXP-5</t>
  </si>
  <si>
    <t>RRT-126</t>
  </si>
  <si>
    <t>25CSKMP-EXP-6</t>
  </si>
  <si>
    <t>RRT-127</t>
  </si>
  <si>
    <t>25CSKMP-6</t>
  </si>
  <si>
    <t>RRT-128</t>
  </si>
  <si>
    <t>CSKMP-2A R</t>
  </si>
  <si>
    <t>25CSKMP-EXP-7</t>
  </si>
  <si>
    <t>RRT-129</t>
  </si>
  <si>
    <t>25CSKMP-EXP-8</t>
  </si>
  <si>
    <t>RRT-130</t>
  </si>
  <si>
    <t xml:space="preserve">CSKMP-2B </t>
  </si>
  <si>
    <t>25CSKMP-EXP-9</t>
  </si>
  <si>
    <t>Composición de lotes en tanques tintos  2025</t>
  </si>
  <si>
    <t>TANQUE FINAL</t>
  </si>
  <si>
    <t>ADICIONES TK FERMENTACIÓN</t>
  </si>
  <si>
    <t>FECHA MOLIENDA</t>
  </si>
  <si>
    <t>LOTE CAMPO</t>
  </si>
  <si>
    <t>KG</t>
  </si>
  <si>
    <t>LOTE</t>
  </si>
  <si>
    <t>TK RECEPCIÓN</t>
  </si>
  <si>
    <t>FR VOL (L)</t>
  </si>
  <si>
    <t>REND FR TEO</t>
  </si>
  <si>
    <t>TK FR FA</t>
  </si>
  <si>
    <t>VOL DESVINE</t>
  </si>
  <si>
    <t>REN FR</t>
  </si>
  <si>
    <t>TK PRENSAS</t>
  </si>
  <si>
    <t>VOL (L)</t>
  </si>
  <si>
    <t>REND PR</t>
  </si>
  <si>
    <t>VOL TOTAL</t>
  </si>
  <si>
    <t>TOTAL REND</t>
  </si>
  <si>
    <t>OBS</t>
  </si>
  <si>
    <t>pH Rec</t>
  </si>
  <si>
    <t>pH Correc</t>
  </si>
  <si>
    <t>pH Correc2</t>
  </si>
  <si>
    <t>DOSIS AT (g/L)</t>
  </si>
  <si>
    <t>CANT KG A.TARTARICO</t>
  </si>
  <si>
    <t>$</t>
  </si>
  <si>
    <t>AT Rec</t>
  </si>
  <si>
    <t>AT Correc</t>
  </si>
  <si>
    <t>AT Correc3</t>
  </si>
  <si>
    <t>A.TARTARICO 70</t>
  </si>
  <si>
    <t>A.MALICO 30</t>
  </si>
  <si>
    <t>P010 KG</t>
  </si>
  <si>
    <t>Bx Correc</t>
  </si>
  <si>
    <t>25CB7LN-1</t>
  </si>
  <si>
    <t>VAR A Y TIBOR 17</t>
  </si>
  <si>
    <t>25CB7LN-2</t>
  </si>
  <si>
    <t>F2</t>
  </si>
  <si>
    <t>CSVDG-5B</t>
  </si>
  <si>
    <t>SE SANGRO 5% SE ENVIA A 25CSVDG-1</t>
  </si>
  <si>
    <t>H7</t>
  </si>
  <si>
    <t>SIN PRENSADO AV</t>
  </si>
  <si>
    <t>H9</t>
  </si>
  <si>
    <t>SE JUNTA EN PD1</t>
  </si>
  <si>
    <t>H6</t>
  </si>
  <si>
    <t>H5</t>
  </si>
  <si>
    <t>Relleno</t>
  </si>
  <si>
    <t>H4</t>
  </si>
  <si>
    <t>SYVA-1D-2C-3C-4C</t>
  </si>
  <si>
    <t>F1</t>
  </si>
  <si>
    <t>Se sangran 300 L para C5</t>
  </si>
  <si>
    <t>Se prenso el 50%</t>
  </si>
  <si>
    <t>H11</t>
  </si>
  <si>
    <t>Se prenso el 50 %, orujo usado para vino 2023</t>
  </si>
  <si>
    <t>H8</t>
  </si>
  <si>
    <t>SIN PRENSADO PIELES PARA 25MEON-1 POR NOTAS VERDES</t>
  </si>
  <si>
    <t>E6</t>
  </si>
  <si>
    <t>D8</t>
  </si>
  <si>
    <t>KME-S6-1</t>
  </si>
  <si>
    <t>F10</t>
  </si>
  <si>
    <t>SIN PRENSADO POR AV ALTA DESDE INICIO, 0.22 g/L al final</t>
  </si>
  <si>
    <t>MRSKMP-S 5A+</t>
  </si>
  <si>
    <t>SIN PRENSADO SE USA PARA 25TEKMP-1</t>
  </si>
  <si>
    <t>D6</t>
  </si>
  <si>
    <t>KSY-23</t>
  </si>
  <si>
    <t>KSY-21</t>
  </si>
  <si>
    <t>KSY-21 Raleo</t>
  </si>
  <si>
    <t>KSY-S7 21</t>
  </si>
  <si>
    <t>F5</t>
  </si>
  <si>
    <t xml:space="preserve">KDU- S7 </t>
  </si>
  <si>
    <t>CSOLE 4/7</t>
  </si>
  <si>
    <t xml:space="preserve">BINS </t>
  </si>
  <si>
    <t>TANQUES MUY LLENOS</t>
  </si>
  <si>
    <t>%</t>
  </si>
  <si>
    <t>SE INCORPORA A B4</t>
  </si>
  <si>
    <t>MRSKMP-5B-</t>
  </si>
  <si>
    <t>A5- C6</t>
  </si>
  <si>
    <t>MRSKMP-5B- Raleo</t>
  </si>
  <si>
    <t>Se usa XFRESH - Experimento</t>
  </si>
  <si>
    <t>Se usa XFRESH</t>
  </si>
  <si>
    <t>Experimento</t>
  </si>
  <si>
    <t>F3</t>
  </si>
  <si>
    <t>C5/ h6</t>
  </si>
  <si>
    <t>Omega Lt - Experimento</t>
  </si>
  <si>
    <t>SIN PRENSAR</t>
  </si>
  <si>
    <t>CSKMP-S8-1 ABA</t>
  </si>
  <si>
    <t>E8</t>
  </si>
  <si>
    <t>REV</t>
  </si>
  <si>
    <t xml:space="preserve">CSKMP-S8 </t>
  </si>
  <si>
    <t>NO SE PRENSA SE USA PARA REFRESCAR VINO</t>
  </si>
  <si>
    <t>CSKMP-2B Alivio</t>
  </si>
  <si>
    <t>Composición de lotes en tanques blancos  2025</t>
  </si>
  <si>
    <t>ADICIONES TK PREFERMENTACION</t>
  </si>
  <si>
    <t xml:space="preserve">ADICIONES TK </t>
  </si>
  <si>
    <t>VOL FINAL</t>
  </si>
  <si>
    <t>REND FR</t>
  </si>
  <si>
    <t>TK DESBORRE</t>
  </si>
  <si>
    <t xml:space="preserve">RENDIMIENTO </t>
  </si>
  <si>
    <t>BORRA</t>
  </si>
  <si>
    <t>MERMA  %</t>
  </si>
  <si>
    <t>pH prefer</t>
  </si>
  <si>
    <t>AT.G/L</t>
  </si>
  <si>
    <t>AT prefer</t>
  </si>
  <si>
    <t>A.TARTARICO 70 KG</t>
  </si>
  <si>
    <t>A.MALICO 30 KG</t>
  </si>
  <si>
    <t>VAR A</t>
  </si>
  <si>
    <t>C1</t>
  </si>
  <si>
    <t>D1/D4</t>
  </si>
  <si>
    <t>D4/D5</t>
  </si>
  <si>
    <t>9 BINS/ B4</t>
  </si>
  <si>
    <t>B1, Prensa se junto con siguiente entrada</t>
  </si>
  <si>
    <t>B4 VAIVEN</t>
  </si>
  <si>
    <t>SBMX.1C</t>
  </si>
  <si>
    <t>6 BINS/A3</t>
  </si>
  <si>
    <t>A3 VAIVEN</t>
  </si>
  <si>
    <t>D5
Flotación</t>
  </si>
  <si>
    <t>C4
Flotación</t>
  </si>
  <si>
    <t>SBMX-4B EXP</t>
  </si>
  <si>
    <t>D4
Flotación</t>
  </si>
  <si>
    <t>C3
Flotación</t>
  </si>
  <si>
    <t>Se junto en C3</t>
  </si>
  <si>
    <t>25SBVGD-11</t>
  </si>
  <si>
    <t>B1 VAIVEN</t>
  </si>
  <si>
    <t>VER EN EXCEL DE TINTOS</t>
  </si>
  <si>
    <t>B5
Flotación</t>
  </si>
  <si>
    <t>NE UVA CON AV</t>
  </si>
  <si>
    <t>A4 VAIVEN</t>
  </si>
  <si>
    <t>CHKMP-S5 110 R</t>
  </si>
  <si>
    <t>PRENSAS</t>
  </si>
  <si>
    <t>1000 L AGUA</t>
  </si>
  <si>
    <t>A1
VAIVEN</t>
  </si>
  <si>
    <t>A1  VAVEN</t>
  </si>
  <si>
    <t>KMS-S5</t>
  </si>
  <si>
    <t>TOTAL 2 RELLENOS</t>
  </si>
  <si>
    <t>A7 Flotación VAIVEN</t>
  </si>
  <si>
    <t>GREVA3A/4A</t>
  </si>
  <si>
    <t>TOTAL</t>
  </si>
  <si>
    <t xml:space="preserve">C4
</t>
  </si>
  <si>
    <t>Problemas en decantación</t>
  </si>
  <si>
    <t>VOL TOTAL 3 RELLENOS</t>
  </si>
  <si>
    <t>MRSKMP-5A+</t>
  </si>
  <si>
    <t>TIBOR 2</t>
  </si>
  <si>
    <t>KTE-S1</t>
  </si>
  <si>
    <t>TIBOR 17</t>
  </si>
  <si>
    <t>TIBOR 13</t>
  </si>
  <si>
    <t>D4
VAIVEN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</si>
</sst>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_-* #,##0_-;\-* #,##0_-;_-* &quot;-&quot;??_-;_-@_-"/>
    <numFmt numFmtId="167" formatCode="_-* #,##0.000_-;\-* #,##0.000_-;_-* &quot;-&quot;??_-;_-@_-"/>
    <numFmt numFmtId="168" formatCode="_-* #,##0.0000_-;\-* #,##0.0000_-;_-* &quot;-&quot;??_-;_-@_-"/>
    <numFmt numFmtId="169" formatCode="0.000"/>
    <numFmt numFmtId="170" formatCode="0.0"/>
    <numFmt numFmtId="171" formatCode="d/m/yyyy"/>
    <numFmt numFmtId="172" formatCode="0.0%"/>
    <numFmt numFmtId="173" formatCode="_-* #,##0.0_-;\-* #,##0.0_-;_-* &quot;-&quot;??_-;_-@_-"/>
  </numFmts>
  <fonts count="2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indexed="81"/>
      <name val="Tahoma"/>
      <family val="2"/>
    </font>
    <font>
      <sz val="12"/>
      <color theme="1"/>
      <name val="Aptos Narrow"/>
      <family val="2"/>
    </font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b/>
      <sz val="12"/>
      <color theme="1" tint="0.1499984740745262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  <font>
      <sz val="10"/>
      <color rgb="FF000000"/>
      <name val="Aptos Narrow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rgb="FFFFFFFF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b/>
      <sz val="8"/>
      <color rgb="FF000000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2" tint="-0.34998626667073579"/>
        <bgColor rgb="FF999999"/>
      </patternFill>
    </fill>
    <fill>
      <patternFill patternType="solid">
        <fgColor theme="8"/>
        <bgColor rgb="FF999999"/>
      </patternFill>
    </fill>
    <fill>
      <patternFill patternType="solid">
        <fgColor theme="8"/>
        <bgColor indexed="64"/>
      </patternFill>
    </fill>
    <fill>
      <patternFill patternType="solid">
        <fgColor theme="9" tint="-0.249977111117893"/>
        <bgColor rgb="FF999999"/>
      </patternFill>
    </fill>
    <fill>
      <patternFill patternType="solid">
        <fgColor rgb="FF999999"/>
        <bgColor rgb="FF999999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rgb="FF999999"/>
      </patternFill>
    </fill>
    <fill>
      <patternFill patternType="solid">
        <fgColor theme="8" tint="0.39997558519241921"/>
        <bgColor rgb="FF999999"/>
      </patternFill>
    </fill>
    <fill>
      <patternFill patternType="solid">
        <fgColor theme="7" tint="0.39997558519241921"/>
        <bgColor rgb="FF999999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34998626667073579"/>
        <bgColor indexed="64"/>
      </patternFill>
    </fill>
    <fill>
      <patternFill patternType="solid">
        <fgColor theme="0" tint="-0.34998626667073579"/>
        <bgColor rgb="FF999999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5" fillId="0" borderId="0"/>
    <xf numFmtId="43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0"/>
  </cellStyleXfs>
  <cellXfs count="527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0" fontId="0" fillId="0" borderId="0" xfId="0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/>
    </xf>
    <xf numFmtId="0" fontId="3" fillId="12" borderId="0" xfId="0" applyFont="1" applyFill="1" applyAlignment="1">
      <alignment horizontal="center" vertical="center"/>
    </xf>
    <xf numFmtId="0" fontId="3" fillId="12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8" fillId="0" borderId="0" xfId="0" applyFont="1"/>
    <xf numFmtId="0" fontId="8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68" fontId="4" fillId="0" borderId="0" xfId="1" applyNumberFormat="1" applyFont="1" applyAlignment="1">
      <alignment horizontal="center"/>
    </xf>
    <xf numFmtId="0" fontId="4" fillId="0" borderId="0" xfId="0" applyFont="1" applyAlignment="1">
      <alignment horizontal="center" vertical="center"/>
    </xf>
    <xf numFmtId="165" fontId="4" fillId="0" borderId="0" xfId="1" applyFont="1" applyAlignment="1">
      <alignment horizontal="center"/>
    </xf>
    <xf numFmtId="167" fontId="4" fillId="0" borderId="0" xfId="1" applyNumberFormat="1" applyFont="1" applyAlignment="1">
      <alignment horizontal="center"/>
    </xf>
    <xf numFmtId="2" fontId="4" fillId="0" borderId="0" xfId="1" applyNumberFormat="1" applyFont="1" applyAlignment="1">
      <alignment horizontal="center"/>
    </xf>
    <xf numFmtId="165" fontId="4" fillId="0" borderId="0" xfId="1" applyFont="1" applyAlignment="1">
      <alignment horizontal="center" vertical="center"/>
    </xf>
    <xf numFmtId="2" fontId="3" fillId="13" borderId="0" xfId="1" applyNumberFormat="1" applyFont="1" applyFill="1" applyAlignment="1">
      <alignment horizontal="center" vertical="center" wrapText="1"/>
    </xf>
    <xf numFmtId="167" fontId="4" fillId="14" borderId="0" xfId="1" applyNumberFormat="1" applyFont="1" applyFill="1" applyAlignment="1">
      <alignment horizontal="center"/>
    </xf>
    <xf numFmtId="165" fontId="4" fillId="14" borderId="0" xfId="1" applyFont="1" applyFill="1" applyAlignment="1">
      <alignment horizontal="center"/>
    </xf>
    <xf numFmtId="2" fontId="3" fillId="14" borderId="0" xfId="1" applyNumberFormat="1" applyFont="1" applyFill="1" applyAlignment="1">
      <alignment horizontal="center" vertical="center" wrapText="1"/>
    </xf>
    <xf numFmtId="0" fontId="10" fillId="15" borderId="0" xfId="0" applyFont="1" applyFill="1" applyAlignment="1">
      <alignment horizontal="center" vertical="center" wrapText="1"/>
    </xf>
    <xf numFmtId="168" fontId="10" fillId="15" borderId="0" xfId="1" applyNumberFormat="1" applyFont="1" applyFill="1" applyAlignment="1">
      <alignment horizontal="center" vertical="center" wrapText="1"/>
    </xf>
    <xf numFmtId="165" fontId="10" fillId="15" borderId="0" xfId="1" applyFont="1" applyFill="1" applyAlignment="1">
      <alignment horizontal="center" vertical="center" wrapText="1"/>
    </xf>
    <xf numFmtId="167" fontId="10" fillId="5" borderId="0" xfId="1" applyNumberFormat="1" applyFont="1" applyFill="1" applyAlignment="1">
      <alignment horizontal="center" vertical="center" wrapText="1"/>
    </xf>
    <xf numFmtId="165" fontId="10" fillId="5" borderId="0" xfId="1" applyFont="1" applyFill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2" fontId="10" fillId="5" borderId="0" xfId="1" applyNumberFormat="1" applyFont="1" applyFill="1" applyAlignment="1">
      <alignment horizontal="center" vertical="center" wrapText="1"/>
    </xf>
    <xf numFmtId="0" fontId="10" fillId="16" borderId="0" xfId="0" applyFont="1" applyFill="1" applyAlignment="1">
      <alignment horizontal="center" vertical="center" wrapText="1"/>
    </xf>
    <xf numFmtId="165" fontId="10" fillId="16" borderId="0" xfId="1" applyFont="1" applyFill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/>
    </xf>
    <xf numFmtId="169" fontId="4" fillId="0" borderId="0" xfId="1" applyNumberFormat="1" applyFont="1" applyFill="1" applyBorder="1" applyAlignment="1">
      <alignment horizontal="center" vertical="center"/>
    </xf>
    <xf numFmtId="170" fontId="4" fillId="0" borderId="0" xfId="0" applyNumberFormat="1" applyFont="1" applyAlignment="1">
      <alignment horizontal="center" vertical="center"/>
    </xf>
    <xf numFmtId="165" fontId="4" fillId="0" borderId="0" xfId="1" applyFont="1" applyBorder="1" applyAlignment="1">
      <alignment horizontal="center" vertical="center"/>
    </xf>
    <xf numFmtId="167" fontId="4" fillId="17" borderId="0" xfId="1" applyNumberFormat="1" applyFont="1" applyFill="1" applyBorder="1" applyAlignment="1">
      <alignment horizontal="center" vertical="center"/>
    </xf>
    <xf numFmtId="165" fontId="4" fillId="0" borderId="0" xfId="1" applyFont="1" applyFill="1" applyBorder="1" applyAlignment="1">
      <alignment horizontal="center" vertical="center"/>
    </xf>
    <xf numFmtId="165" fontId="4" fillId="17" borderId="0" xfId="1" applyFont="1" applyFill="1" applyBorder="1" applyAlignment="1">
      <alignment horizontal="center" vertical="center"/>
    </xf>
    <xf numFmtId="0" fontId="4" fillId="17" borderId="0" xfId="0" applyFont="1" applyFill="1" applyAlignment="1">
      <alignment horizontal="center" vertical="center"/>
    </xf>
    <xf numFmtId="2" fontId="4" fillId="17" borderId="0" xfId="1" applyNumberFormat="1" applyFont="1" applyFill="1" applyBorder="1" applyAlignment="1">
      <alignment horizontal="center"/>
    </xf>
    <xf numFmtId="169" fontId="4" fillId="17" borderId="0" xfId="1" applyNumberFormat="1" applyFont="1" applyFill="1" applyBorder="1" applyAlignment="1">
      <alignment horizontal="center"/>
    </xf>
    <xf numFmtId="2" fontId="4" fillId="0" borderId="0" xfId="0" applyNumberFormat="1" applyFont="1" applyAlignment="1">
      <alignment horizontal="center" vertical="center"/>
    </xf>
    <xf numFmtId="2" fontId="4" fillId="0" borderId="0" xfId="1" applyNumberFormat="1" applyFont="1" applyBorder="1" applyAlignment="1">
      <alignment horizontal="center" vertical="center"/>
    </xf>
    <xf numFmtId="169" fontId="4" fillId="0" borderId="0" xfId="1" applyNumberFormat="1" applyFont="1" applyBorder="1" applyAlignment="1">
      <alignment horizontal="center" vertical="center"/>
    </xf>
    <xf numFmtId="2" fontId="4" fillId="0" borderId="0" xfId="1" applyNumberFormat="1" applyFont="1" applyFill="1" applyBorder="1" applyAlignment="1">
      <alignment horizontal="center" vertical="center"/>
    </xf>
    <xf numFmtId="0" fontId="4" fillId="0" borderId="0" xfId="1" applyNumberFormat="1" applyFont="1" applyFill="1" applyBorder="1" applyAlignment="1">
      <alignment horizontal="center" vertical="center"/>
    </xf>
    <xf numFmtId="169" fontId="4" fillId="0" borderId="0" xfId="1" applyNumberFormat="1" applyFont="1" applyBorder="1" applyAlignment="1">
      <alignment horizontal="center"/>
    </xf>
    <xf numFmtId="165" fontId="4" fillId="0" borderId="0" xfId="1" applyFont="1" applyBorder="1" applyAlignment="1">
      <alignment horizontal="center"/>
    </xf>
    <xf numFmtId="165" fontId="4" fillId="0" borderId="0" xfId="1" applyFont="1" applyFill="1" applyBorder="1" applyAlignment="1">
      <alignment horizontal="center"/>
    </xf>
    <xf numFmtId="0" fontId="4" fillId="0" borderId="0" xfId="1" applyNumberFormat="1" applyFont="1" applyBorder="1" applyAlignment="1">
      <alignment horizontal="center" vertical="center"/>
    </xf>
    <xf numFmtId="14" fontId="4" fillId="0" borderId="0" xfId="0" applyNumberFormat="1" applyFont="1" applyAlignment="1">
      <alignment horizontal="center"/>
    </xf>
    <xf numFmtId="169" fontId="4" fillId="0" borderId="0" xfId="1" applyNumberFormat="1" applyFont="1" applyFill="1" applyBorder="1" applyAlignment="1">
      <alignment horizontal="center"/>
    </xf>
    <xf numFmtId="167" fontId="4" fillId="17" borderId="0" xfId="1" applyNumberFormat="1" applyFont="1" applyFill="1" applyBorder="1" applyAlignment="1">
      <alignment horizontal="center"/>
    </xf>
    <xf numFmtId="0" fontId="4" fillId="17" borderId="0" xfId="0" applyFont="1" applyFill="1" applyAlignment="1">
      <alignment horizontal="center"/>
    </xf>
    <xf numFmtId="0" fontId="4" fillId="18" borderId="0" xfId="0" applyFont="1" applyFill="1" applyAlignment="1">
      <alignment horizontal="center" vertical="center"/>
    </xf>
    <xf numFmtId="14" fontId="4" fillId="18" borderId="0" xfId="0" applyNumberFormat="1" applyFont="1" applyFill="1" applyAlignment="1">
      <alignment horizontal="center" vertical="center"/>
    </xf>
    <xf numFmtId="170" fontId="4" fillId="18" borderId="0" xfId="0" applyNumberFormat="1" applyFont="1" applyFill="1" applyAlignment="1">
      <alignment horizontal="center" vertical="center"/>
    </xf>
    <xf numFmtId="2" fontId="4" fillId="18" borderId="0" xfId="0" applyNumberFormat="1" applyFont="1" applyFill="1" applyAlignment="1">
      <alignment horizontal="center" vertical="center"/>
    </xf>
    <xf numFmtId="2" fontId="4" fillId="18" borderId="0" xfId="1" applyNumberFormat="1" applyFont="1" applyFill="1" applyBorder="1" applyAlignment="1">
      <alignment horizontal="center" vertical="center"/>
    </xf>
    <xf numFmtId="169" fontId="4" fillId="0" borderId="0" xfId="0" applyNumberFormat="1" applyFont="1" applyAlignment="1">
      <alignment horizontal="center" vertical="center"/>
    </xf>
    <xf numFmtId="0" fontId="4" fillId="0" borderId="0" xfId="2" applyNumberFormat="1" applyFont="1" applyFill="1" applyBorder="1" applyAlignment="1">
      <alignment horizontal="center" vertical="center"/>
    </xf>
    <xf numFmtId="170" fontId="4" fillId="0" borderId="0" xfId="1" applyNumberFormat="1" applyFont="1" applyBorder="1" applyAlignment="1">
      <alignment horizontal="center" vertical="center"/>
    </xf>
    <xf numFmtId="169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170" fontId="4" fillId="0" borderId="0" xfId="1" applyNumberFormat="1" applyFont="1" applyFill="1" applyBorder="1" applyAlignment="1">
      <alignment horizontal="center" vertical="center"/>
    </xf>
    <xf numFmtId="2" fontId="4" fillId="0" borderId="0" xfId="1" applyNumberFormat="1" applyFont="1" applyFill="1" applyBorder="1" applyAlignment="1">
      <alignment horizontal="center"/>
    </xf>
    <xf numFmtId="165" fontId="4" fillId="17" borderId="0" xfId="1" applyFont="1" applyFill="1" applyBorder="1" applyAlignment="1">
      <alignment horizontal="center"/>
    </xf>
    <xf numFmtId="2" fontId="4" fillId="19" borderId="0" xfId="1" applyNumberFormat="1" applyFont="1" applyFill="1" applyBorder="1" applyAlignment="1">
      <alignment horizontal="center" vertical="center"/>
    </xf>
    <xf numFmtId="2" fontId="4" fillId="17" borderId="0" xfId="1" applyNumberFormat="1" applyFont="1" applyFill="1" applyBorder="1" applyAlignment="1">
      <alignment horizontal="center" vertical="center"/>
    </xf>
    <xf numFmtId="2" fontId="4" fillId="0" borderId="0" xfId="1" applyNumberFormat="1" applyFont="1" applyBorder="1" applyAlignment="1">
      <alignment horizontal="center"/>
    </xf>
    <xf numFmtId="168" fontId="4" fillId="0" borderId="0" xfId="1" applyNumberFormat="1" applyFont="1" applyFill="1" applyAlignment="1">
      <alignment horizontal="center" vertical="center"/>
    </xf>
    <xf numFmtId="167" fontId="4" fillId="0" borderId="0" xfId="1" applyNumberFormat="1" applyFont="1" applyFill="1" applyAlignment="1">
      <alignment horizontal="center" vertical="center"/>
    </xf>
    <xf numFmtId="165" fontId="4" fillId="0" borderId="0" xfId="1" applyFont="1" applyFill="1" applyAlignment="1">
      <alignment horizontal="center" vertical="center"/>
    </xf>
    <xf numFmtId="2" fontId="4" fillId="0" borderId="0" xfId="1" applyNumberFormat="1" applyFont="1" applyAlignment="1">
      <alignment horizontal="center" vertical="center"/>
    </xf>
    <xf numFmtId="168" fontId="3" fillId="0" borderId="0" xfId="1" applyNumberFormat="1" applyFont="1" applyAlignment="1">
      <alignment vertical="center"/>
    </xf>
    <xf numFmtId="168" fontId="4" fillId="0" borderId="0" xfId="1" applyNumberFormat="1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/>
    <xf numFmtId="0" fontId="11" fillId="0" borderId="0" xfId="0" applyFont="1" applyAlignment="1">
      <alignment horizontal="center" vertical="center"/>
    </xf>
    <xf numFmtId="0" fontId="11" fillId="20" borderId="0" xfId="0" applyFont="1" applyFill="1" applyAlignment="1">
      <alignment horizontal="center" vertical="center" wrapText="1"/>
    </xf>
    <xf numFmtId="0" fontId="11" fillId="21" borderId="0" xfId="0" applyFont="1" applyFill="1" applyAlignment="1">
      <alignment horizontal="center" vertical="center" wrapText="1"/>
    </xf>
    <xf numFmtId="0" fontId="11" fillId="21" borderId="0" xfId="0" applyFont="1" applyFill="1" applyAlignment="1">
      <alignment horizontal="center" vertical="center"/>
    </xf>
    <xf numFmtId="171" fontId="13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170" fontId="4" fillId="0" borderId="1" xfId="0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171" fontId="4" fillId="0" borderId="1" xfId="0" applyNumberFormat="1" applyFont="1" applyBorder="1" applyAlignment="1">
      <alignment horizontal="center"/>
    </xf>
    <xf numFmtId="2" fontId="13" fillId="0" borderId="1" xfId="0" applyNumberFormat="1" applyFont="1" applyBorder="1" applyAlignment="1">
      <alignment horizontal="center"/>
    </xf>
    <xf numFmtId="14" fontId="13" fillId="0" borderId="1" xfId="0" applyNumberFormat="1" applyFont="1" applyBorder="1" applyAlignment="1">
      <alignment horizontal="left"/>
    </xf>
    <xf numFmtId="14" fontId="13" fillId="0" borderId="1" xfId="0" applyNumberFormat="1" applyFont="1" applyBorder="1" applyAlignment="1">
      <alignment horizontal="center"/>
    </xf>
    <xf numFmtId="170" fontId="13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3" fillId="21" borderId="1" xfId="0" applyFont="1" applyFill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14" fontId="4" fillId="0" borderId="1" xfId="0" applyNumberFormat="1" applyFont="1" applyBorder="1" applyAlignment="1">
      <alignment horizontal="left"/>
    </xf>
    <xf numFmtId="0" fontId="14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2" fontId="14" fillId="0" borderId="1" xfId="0" applyNumberFormat="1" applyFont="1" applyBorder="1" applyAlignment="1">
      <alignment horizontal="center"/>
    </xf>
    <xf numFmtId="14" fontId="4" fillId="0" borderId="1" xfId="0" applyNumberFormat="1" applyFont="1" applyBorder="1"/>
    <xf numFmtId="0" fontId="13" fillId="22" borderId="1" xfId="0" applyFont="1" applyFill="1" applyBorder="1" applyAlignment="1">
      <alignment horizontal="center"/>
    </xf>
    <xf numFmtId="170" fontId="14" fillId="0" borderId="1" xfId="0" applyNumberFormat="1" applyFont="1" applyBorder="1" applyAlignment="1">
      <alignment horizontal="center"/>
    </xf>
    <xf numFmtId="14" fontId="13" fillId="0" borderId="1" xfId="0" applyNumberFormat="1" applyFont="1" applyBorder="1"/>
    <xf numFmtId="171" fontId="13" fillId="0" borderId="2" xfId="0" applyNumberFormat="1" applyFont="1" applyBorder="1" applyAlignment="1">
      <alignment horizontal="center"/>
    </xf>
    <xf numFmtId="14" fontId="4" fillId="0" borderId="2" xfId="0" applyNumberFormat="1" applyFont="1" applyBorder="1" applyAlignment="1">
      <alignment horizontal="center"/>
    </xf>
    <xf numFmtId="14" fontId="4" fillId="0" borderId="2" xfId="0" applyNumberFormat="1" applyFont="1" applyBorder="1"/>
    <xf numFmtId="0" fontId="11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2" fontId="4" fillId="0" borderId="2" xfId="0" applyNumberFormat="1" applyFont="1" applyBorder="1" applyAlignment="1">
      <alignment horizontal="center"/>
    </xf>
    <xf numFmtId="0" fontId="4" fillId="21" borderId="1" xfId="0" applyFont="1" applyFill="1" applyBorder="1" applyAlignment="1">
      <alignment horizontal="center"/>
    </xf>
    <xf numFmtId="0" fontId="4" fillId="21" borderId="2" xfId="0" applyFont="1" applyFill="1" applyBorder="1" applyAlignment="1">
      <alignment horizontal="center"/>
    </xf>
    <xf numFmtId="14" fontId="15" fillId="0" borderId="0" xfId="3" applyNumberFormat="1"/>
    <xf numFmtId="0" fontId="16" fillId="0" borderId="0" xfId="3" applyFont="1"/>
    <xf numFmtId="43" fontId="16" fillId="0" borderId="0" xfId="4" applyFont="1"/>
    <xf numFmtId="0" fontId="18" fillId="0" borderId="0" xfId="3" applyFont="1" applyAlignment="1">
      <alignment horizontal="center"/>
    </xf>
    <xf numFmtId="43" fontId="16" fillId="0" borderId="0" xfId="4" applyFont="1" applyAlignment="1">
      <alignment horizontal="center" vertical="center"/>
    </xf>
    <xf numFmtId="9" fontId="18" fillId="0" borderId="0" xfId="5" applyFont="1" applyAlignment="1">
      <alignment horizontal="center"/>
    </xf>
    <xf numFmtId="1" fontId="16" fillId="0" borderId="0" xfId="3" applyNumberFormat="1" applyFont="1" applyAlignment="1">
      <alignment horizontal="center" vertical="center"/>
    </xf>
    <xf numFmtId="172" fontId="16" fillId="0" borderId="0" xfId="5" applyNumberFormat="1" applyFont="1" applyAlignment="1">
      <alignment horizontal="center" vertical="center"/>
    </xf>
    <xf numFmtId="0" fontId="16" fillId="0" borderId="0" xfId="3" applyFont="1" applyAlignment="1">
      <alignment horizontal="center"/>
    </xf>
    <xf numFmtId="173" fontId="16" fillId="0" borderId="0" xfId="4" applyNumberFormat="1" applyFont="1"/>
    <xf numFmtId="172" fontId="16" fillId="0" borderId="0" xfId="5" applyNumberFormat="1" applyFont="1" applyAlignment="1">
      <alignment horizontal="center"/>
    </xf>
    <xf numFmtId="43" fontId="18" fillId="0" borderId="0" xfId="4" applyFont="1" applyAlignment="1">
      <alignment horizontal="center"/>
    </xf>
    <xf numFmtId="172" fontId="18" fillId="0" borderId="0" xfId="5" applyNumberFormat="1" applyFont="1" applyAlignment="1">
      <alignment horizontal="center" vertical="center"/>
    </xf>
    <xf numFmtId="166" fontId="16" fillId="0" borderId="0" xfId="4" applyNumberFormat="1" applyFont="1" applyAlignment="1">
      <alignment horizontal="center"/>
    </xf>
    <xf numFmtId="0" fontId="15" fillId="0" borderId="0" xfId="3"/>
    <xf numFmtId="2" fontId="15" fillId="0" borderId="0" xfId="3" applyNumberFormat="1" applyAlignment="1">
      <alignment horizontal="center"/>
    </xf>
    <xf numFmtId="2" fontId="15" fillId="0" borderId="0" xfId="3" applyNumberFormat="1"/>
    <xf numFmtId="14" fontId="19" fillId="24" borderId="6" xfId="3" applyNumberFormat="1" applyFont="1" applyFill="1" applyBorder="1" applyAlignment="1">
      <alignment vertical="center"/>
    </xf>
    <xf numFmtId="0" fontId="19" fillId="24" borderId="4" xfId="3" applyFont="1" applyFill="1" applyBorder="1" applyAlignment="1">
      <alignment vertical="center"/>
    </xf>
    <xf numFmtId="43" fontId="19" fillId="24" borderId="4" xfId="4" applyFont="1" applyFill="1" applyBorder="1" applyAlignment="1">
      <alignment vertical="center"/>
    </xf>
    <xf numFmtId="0" fontId="20" fillId="25" borderId="4" xfId="3" applyFont="1" applyFill="1" applyBorder="1" applyAlignment="1">
      <alignment horizontal="center" vertical="center"/>
    </xf>
    <xf numFmtId="43" fontId="19" fillId="25" borderId="4" xfId="4" applyFont="1" applyFill="1" applyBorder="1" applyAlignment="1">
      <alignment horizontal="center" vertical="center"/>
    </xf>
    <xf numFmtId="9" fontId="20" fillId="24" borderId="4" xfId="5" applyFont="1" applyFill="1" applyBorder="1" applyAlignment="1">
      <alignment horizontal="center" vertical="center" wrapText="1"/>
    </xf>
    <xf numFmtId="9" fontId="21" fillId="26" borderId="4" xfId="5" applyFont="1" applyFill="1" applyBorder="1" applyAlignment="1">
      <alignment horizontal="center" vertical="center" wrapText="1"/>
    </xf>
    <xf numFmtId="1" fontId="19" fillId="24" borderId="4" xfId="3" applyNumberFormat="1" applyFont="1" applyFill="1" applyBorder="1" applyAlignment="1">
      <alignment horizontal="center" vertical="center"/>
    </xf>
    <xf numFmtId="172" fontId="19" fillId="27" borderId="4" xfId="5" applyNumberFormat="1" applyFont="1" applyFill="1" applyBorder="1" applyAlignment="1">
      <alignment horizontal="center" vertical="center"/>
    </xf>
    <xf numFmtId="0" fontId="19" fillId="28" borderId="4" xfId="3" applyFont="1" applyFill="1" applyBorder="1" applyAlignment="1">
      <alignment horizontal="center" vertical="center"/>
    </xf>
    <xf numFmtId="173" fontId="19" fillId="28" borderId="4" xfId="4" applyNumberFormat="1" applyFont="1" applyFill="1" applyBorder="1" applyAlignment="1">
      <alignment vertical="center"/>
    </xf>
    <xf numFmtId="172" fontId="19" fillId="28" borderId="4" xfId="5" applyNumberFormat="1" applyFont="1" applyFill="1" applyBorder="1" applyAlignment="1">
      <alignment horizontal="center" vertical="center"/>
    </xf>
    <xf numFmtId="43" fontId="20" fillId="29" borderId="4" xfId="4" applyFont="1" applyFill="1" applyBorder="1" applyAlignment="1">
      <alignment horizontal="center" vertical="center"/>
    </xf>
    <xf numFmtId="172" fontId="20" fillId="29" borderId="4" xfId="5" applyNumberFormat="1" applyFont="1" applyFill="1" applyBorder="1" applyAlignment="1">
      <alignment horizontal="center" vertical="center"/>
    </xf>
    <xf numFmtId="166" fontId="19" fillId="28" borderId="4" xfId="4" applyNumberFormat="1" applyFont="1" applyFill="1" applyBorder="1" applyAlignment="1">
      <alignment horizontal="center" vertical="center"/>
    </xf>
    <xf numFmtId="0" fontId="19" fillId="28" borderId="4" xfId="3" applyFont="1" applyFill="1" applyBorder="1" applyAlignment="1">
      <alignment vertical="center"/>
    </xf>
    <xf numFmtId="0" fontId="19" fillId="30" borderId="4" xfId="3" applyFont="1" applyFill="1" applyBorder="1" applyAlignment="1">
      <alignment horizontal="center" vertical="center"/>
    </xf>
    <xf numFmtId="2" fontId="19" fillId="30" borderId="4" xfId="3" applyNumberFormat="1" applyFont="1" applyFill="1" applyBorder="1" applyAlignment="1">
      <alignment vertical="center"/>
    </xf>
    <xf numFmtId="0" fontId="19" fillId="30" borderId="4" xfId="3" applyFont="1" applyFill="1" applyBorder="1" applyAlignment="1">
      <alignment vertical="center"/>
    </xf>
    <xf numFmtId="43" fontId="20" fillId="31" borderId="4" xfId="4" applyFont="1" applyFill="1" applyBorder="1" applyAlignment="1">
      <alignment vertical="center"/>
    </xf>
    <xf numFmtId="0" fontId="19" fillId="31" borderId="4" xfId="3" applyFont="1" applyFill="1" applyBorder="1" applyAlignment="1">
      <alignment horizontal="center" vertical="center" wrapText="1"/>
    </xf>
    <xf numFmtId="0" fontId="19" fillId="32" borderId="4" xfId="3" applyFont="1" applyFill="1" applyBorder="1" applyAlignment="1">
      <alignment horizontal="center" vertical="center" wrapText="1"/>
    </xf>
    <xf numFmtId="2" fontId="19" fillId="30" borderId="4" xfId="3" applyNumberFormat="1" applyFont="1" applyFill="1" applyBorder="1" applyAlignment="1">
      <alignment horizontal="center" vertical="center"/>
    </xf>
    <xf numFmtId="0" fontId="22" fillId="30" borderId="4" xfId="3" applyFont="1" applyFill="1" applyBorder="1" applyAlignment="1">
      <alignment vertical="center"/>
    </xf>
    <xf numFmtId="0" fontId="15" fillId="0" borderId="1" xfId="3" applyBorder="1" applyAlignment="1">
      <alignment vertical="center"/>
    </xf>
    <xf numFmtId="14" fontId="15" fillId="12" borderId="7" xfId="3" applyNumberFormat="1" applyFill="1" applyBorder="1"/>
    <xf numFmtId="0" fontId="15" fillId="12" borderId="1" xfId="3" applyFill="1" applyBorder="1"/>
    <xf numFmtId="43" fontId="0" fillId="12" borderId="1" xfId="4" applyFont="1" applyFill="1" applyBorder="1"/>
    <xf numFmtId="0" fontId="23" fillId="12" borderId="1" xfId="3" applyFont="1" applyFill="1" applyBorder="1" applyAlignment="1">
      <alignment horizontal="center"/>
    </xf>
    <xf numFmtId="43" fontId="0" fillId="12" borderId="1" xfId="4" applyFont="1" applyFill="1" applyBorder="1" applyAlignment="1">
      <alignment horizontal="center" vertical="center"/>
    </xf>
    <xf numFmtId="9" fontId="18" fillId="12" borderId="1" xfId="5" applyFont="1" applyFill="1" applyBorder="1" applyAlignment="1">
      <alignment horizontal="center"/>
    </xf>
    <xf numFmtId="9" fontId="18" fillId="12" borderId="2" xfId="5" applyFont="1" applyFill="1" applyBorder="1" applyAlignment="1">
      <alignment horizontal="center" vertical="center" wrapText="1"/>
    </xf>
    <xf numFmtId="1" fontId="18" fillId="12" borderId="1" xfId="3" applyNumberFormat="1" applyFont="1" applyFill="1" applyBorder="1" applyAlignment="1">
      <alignment horizontal="center" vertical="center"/>
    </xf>
    <xf numFmtId="172" fontId="18" fillId="12" borderId="1" xfId="5" applyNumberFormat="1" applyFont="1" applyFill="1" applyBorder="1" applyAlignment="1">
      <alignment horizontal="center" vertical="center"/>
    </xf>
    <xf numFmtId="0" fontId="15" fillId="12" borderId="1" xfId="3" applyFill="1" applyBorder="1" applyAlignment="1">
      <alignment horizontal="center"/>
    </xf>
    <xf numFmtId="173" fontId="0" fillId="12" borderId="1" xfId="4" applyNumberFormat="1" applyFont="1" applyFill="1" applyBorder="1"/>
    <xf numFmtId="172" fontId="18" fillId="12" borderId="1" xfId="5" applyNumberFormat="1" applyFont="1" applyFill="1" applyBorder="1" applyAlignment="1">
      <alignment horizontal="center"/>
    </xf>
    <xf numFmtId="43" fontId="18" fillId="12" borderId="2" xfId="4" applyFont="1" applyFill="1" applyBorder="1" applyAlignment="1">
      <alignment horizontal="center"/>
    </xf>
    <xf numFmtId="9" fontId="0" fillId="12" borderId="1" xfId="5" applyFont="1" applyFill="1" applyBorder="1" applyAlignment="1">
      <alignment horizontal="center"/>
    </xf>
    <xf numFmtId="2" fontId="15" fillId="12" borderId="1" xfId="3" applyNumberFormat="1" applyFill="1" applyBorder="1"/>
    <xf numFmtId="43" fontId="23" fillId="12" borderId="1" xfId="4" applyFont="1" applyFill="1" applyBorder="1"/>
    <xf numFmtId="2" fontId="15" fillId="12" borderId="1" xfId="3" applyNumberFormat="1" applyFill="1" applyBorder="1" applyAlignment="1">
      <alignment horizontal="center"/>
    </xf>
    <xf numFmtId="0" fontId="15" fillId="12" borderId="0" xfId="3" applyFill="1"/>
    <xf numFmtId="9" fontId="18" fillId="12" borderId="4" xfId="5" applyFont="1" applyFill="1" applyBorder="1" applyAlignment="1">
      <alignment horizontal="center" vertical="center" wrapText="1"/>
    </xf>
    <xf numFmtId="43" fontId="18" fillId="12" borderId="4" xfId="4" applyFont="1" applyFill="1" applyBorder="1" applyAlignment="1">
      <alignment horizontal="center"/>
    </xf>
    <xf numFmtId="14" fontId="15" fillId="0" borderId="7" xfId="3" applyNumberFormat="1" applyBorder="1"/>
    <xf numFmtId="0" fontId="15" fillId="0" borderId="1" xfId="3" applyBorder="1"/>
    <xf numFmtId="0" fontId="17" fillId="0" borderId="1" xfId="3" applyFont="1" applyBorder="1"/>
    <xf numFmtId="43" fontId="0" fillId="0" borderId="1" xfId="4" applyFont="1" applyBorder="1"/>
    <xf numFmtId="0" fontId="23" fillId="0" borderId="1" xfId="3" applyFont="1" applyBorder="1" applyAlignment="1">
      <alignment horizontal="center"/>
    </xf>
    <xf numFmtId="43" fontId="0" fillId="0" borderId="1" xfId="4" applyFont="1" applyBorder="1" applyAlignment="1">
      <alignment horizontal="center" vertical="center"/>
    </xf>
    <xf numFmtId="9" fontId="18" fillId="0" borderId="1" xfId="5" applyFont="1" applyBorder="1" applyAlignment="1">
      <alignment horizontal="center"/>
    </xf>
    <xf numFmtId="9" fontId="18" fillId="0" borderId="2" xfId="5" applyFont="1" applyBorder="1" applyAlignment="1">
      <alignment horizontal="center"/>
    </xf>
    <xf numFmtId="1" fontId="16" fillId="0" borderId="1" xfId="3" applyNumberFormat="1" applyFont="1" applyBorder="1" applyAlignment="1">
      <alignment horizontal="center" vertical="center"/>
    </xf>
    <xf numFmtId="172" fontId="16" fillId="0" borderId="2" xfId="5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/>
    </xf>
    <xf numFmtId="173" fontId="17" fillId="0" borderId="1" xfId="4" applyNumberFormat="1" applyFont="1" applyBorder="1"/>
    <xf numFmtId="172" fontId="16" fillId="0" borderId="1" xfId="5" applyNumberFormat="1" applyFont="1" applyBorder="1" applyAlignment="1">
      <alignment horizontal="center"/>
    </xf>
    <xf numFmtId="43" fontId="18" fillId="0" borderId="1" xfId="4" applyFont="1" applyBorder="1" applyAlignment="1">
      <alignment horizontal="center"/>
    </xf>
    <xf numFmtId="172" fontId="18" fillId="0" borderId="1" xfId="5" applyNumberFormat="1" applyFont="1" applyBorder="1" applyAlignment="1">
      <alignment horizontal="center" vertical="center"/>
    </xf>
    <xf numFmtId="166" fontId="0" fillId="0" borderId="1" xfId="4" applyNumberFormat="1" applyFont="1" applyBorder="1" applyAlignment="1">
      <alignment horizontal="center"/>
    </xf>
    <xf numFmtId="0" fontId="15" fillId="0" borderId="1" xfId="3" applyBorder="1" applyAlignment="1">
      <alignment horizontal="center"/>
    </xf>
    <xf numFmtId="2" fontId="15" fillId="0" borderId="1" xfId="3" applyNumberFormat="1" applyBorder="1"/>
    <xf numFmtId="43" fontId="23" fillId="0" borderId="1" xfId="4" applyFont="1" applyBorder="1"/>
    <xf numFmtId="2" fontId="15" fillId="0" borderId="1" xfId="3" applyNumberFormat="1" applyBorder="1" applyAlignment="1">
      <alignment horizontal="center"/>
    </xf>
    <xf numFmtId="9" fontId="18" fillId="0" borderId="4" xfId="5" applyFont="1" applyBorder="1" applyAlignment="1">
      <alignment horizontal="center"/>
    </xf>
    <xf numFmtId="173" fontId="0" fillId="0" borderId="1" xfId="4" applyNumberFormat="1" applyFont="1" applyBorder="1"/>
    <xf numFmtId="0" fontId="15" fillId="33" borderId="1" xfId="3" applyFill="1" applyBorder="1"/>
    <xf numFmtId="0" fontId="15" fillId="23" borderId="1" xfId="3" applyFill="1" applyBorder="1"/>
    <xf numFmtId="0" fontId="23" fillId="0" borderId="2" xfId="3" applyFont="1" applyBorder="1" applyAlignment="1">
      <alignment horizontal="center" vertical="center"/>
    </xf>
    <xf numFmtId="172" fontId="16" fillId="0" borderId="1" xfId="5" applyNumberFormat="1" applyFont="1" applyBorder="1" applyAlignment="1">
      <alignment horizontal="center" vertical="center"/>
    </xf>
    <xf numFmtId="0" fontId="23" fillId="0" borderId="4" xfId="3" applyFont="1" applyBorder="1" applyAlignment="1">
      <alignment horizontal="center" vertical="center"/>
    </xf>
    <xf numFmtId="0" fontId="15" fillId="23" borderId="1" xfId="3" applyFill="1" applyBorder="1" applyAlignment="1">
      <alignment horizontal="center"/>
    </xf>
    <xf numFmtId="2" fontId="15" fillId="23" borderId="1" xfId="3" applyNumberFormat="1" applyFill="1" applyBorder="1"/>
    <xf numFmtId="43" fontId="23" fillId="23" borderId="1" xfId="4" applyFont="1" applyFill="1" applyBorder="1"/>
    <xf numFmtId="2" fontId="15" fillId="23" borderId="1" xfId="3" applyNumberFormat="1" applyFill="1" applyBorder="1" applyAlignment="1">
      <alignment horizontal="center"/>
    </xf>
    <xf numFmtId="172" fontId="18" fillId="29" borderId="1" xfId="5" applyNumberFormat="1" applyFont="1" applyFill="1" applyBorder="1" applyAlignment="1">
      <alignment horizontal="center" vertical="center"/>
    </xf>
    <xf numFmtId="0" fontId="23" fillId="0" borderId="2" xfId="3" applyFont="1" applyBorder="1" applyAlignment="1">
      <alignment horizontal="center"/>
    </xf>
    <xf numFmtId="0" fontId="23" fillId="0" borderId="4" xfId="3" applyFont="1" applyBorder="1" applyAlignment="1">
      <alignment horizontal="center"/>
    </xf>
    <xf numFmtId="43" fontId="23" fillId="0" borderId="1" xfId="3" applyNumberFormat="1" applyFont="1" applyBorder="1" applyAlignment="1">
      <alignment horizontal="center"/>
    </xf>
    <xf numFmtId="0" fontId="23" fillId="0" borderId="1" xfId="3" applyFont="1" applyBorder="1"/>
    <xf numFmtId="9" fontId="18" fillId="19" borderId="1" xfId="5" applyFont="1" applyFill="1" applyBorder="1" applyAlignment="1">
      <alignment horizontal="center"/>
    </xf>
    <xf numFmtId="172" fontId="16" fillId="0" borderId="1" xfId="5" applyNumberFormat="1" applyFont="1" applyFill="1" applyBorder="1" applyAlignment="1">
      <alignment horizontal="center" vertical="center"/>
    </xf>
    <xf numFmtId="173" fontId="0" fillId="0" borderId="1" xfId="4" applyNumberFormat="1" applyFont="1" applyFill="1" applyBorder="1"/>
    <xf numFmtId="172" fontId="16" fillId="0" borderId="1" xfId="5" applyNumberFormat="1" applyFont="1" applyFill="1" applyBorder="1" applyAlignment="1">
      <alignment horizontal="center"/>
    </xf>
    <xf numFmtId="43" fontId="18" fillId="0" borderId="1" xfId="4" applyFont="1" applyFill="1" applyBorder="1" applyAlignment="1">
      <alignment horizontal="center"/>
    </xf>
    <xf numFmtId="172" fontId="18" fillId="0" borderId="1" xfId="5" applyNumberFormat="1" applyFont="1" applyFill="1" applyBorder="1" applyAlignment="1">
      <alignment horizontal="center" vertical="center"/>
    </xf>
    <xf numFmtId="166" fontId="0" fillId="0" borderId="1" xfId="4" applyNumberFormat="1" applyFont="1" applyFill="1" applyBorder="1" applyAlignment="1">
      <alignment horizontal="center"/>
    </xf>
    <xf numFmtId="43" fontId="17" fillId="0" borderId="1" xfId="3" applyNumberFormat="1" applyFont="1" applyBorder="1" applyAlignment="1">
      <alignment horizontal="center"/>
    </xf>
    <xf numFmtId="43" fontId="15" fillId="0" borderId="1" xfId="3" applyNumberFormat="1" applyBorder="1" applyAlignment="1">
      <alignment horizontal="center"/>
    </xf>
    <xf numFmtId="14" fontId="15" fillId="5" borderId="7" xfId="3" applyNumberFormat="1" applyFill="1" applyBorder="1"/>
    <xf numFmtId="9" fontId="16" fillId="0" borderId="1" xfId="5" applyFont="1" applyBorder="1" applyAlignment="1">
      <alignment horizontal="center"/>
    </xf>
    <xf numFmtId="43" fontId="23" fillId="0" borderId="1" xfId="4" applyFont="1" applyFill="1" applyBorder="1"/>
    <xf numFmtId="0" fontId="24" fillId="19" borderId="8" xfId="3" applyFont="1" applyFill="1" applyBorder="1" applyAlignment="1">
      <alignment horizontal="center"/>
    </xf>
    <xf numFmtId="0" fontId="24" fillId="19" borderId="9" xfId="3" applyFont="1" applyFill="1" applyBorder="1" applyAlignment="1">
      <alignment horizontal="center"/>
    </xf>
    <xf numFmtId="0" fontId="25" fillId="19" borderId="7" xfId="3" applyFont="1" applyFill="1" applyBorder="1" applyAlignment="1">
      <alignment horizontal="center"/>
    </xf>
    <xf numFmtId="16" fontId="15" fillId="0" borderId="1" xfId="3" applyNumberFormat="1" applyBorder="1"/>
    <xf numFmtId="14" fontId="26" fillId="0" borderId="10" xfId="3" applyNumberFormat="1" applyFont="1" applyBorder="1"/>
    <xf numFmtId="0" fontId="15" fillId="0" borderId="2" xfId="3" applyBorder="1"/>
    <xf numFmtId="43" fontId="0" fillId="0" borderId="2" xfId="4" applyFont="1" applyBorder="1"/>
    <xf numFmtId="43" fontId="0" fillId="0" borderId="2" xfId="4" applyFont="1" applyBorder="1" applyAlignment="1">
      <alignment horizontal="center" vertical="center"/>
    </xf>
    <xf numFmtId="1" fontId="16" fillId="0" borderId="2" xfId="3" applyNumberFormat="1" applyFont="1" applyBorder="1" applyAlignment="1">
      <alignment horizontal="center" vertical="center"/>
    </xf>
    <xf numFmtId="0" fontId="24" fillId="19" borderId="7" xfId="3" applyFont="1" applyFill="1" applyBorder="1" applyAlignment="1">
      <alignment horizontal="center"/>
    </xf>
    <xf numFmtId="43" fontId="18" fillId="0" borderId="2" xfId="4" applyFont="1" applyBorder="1" applyAlignment="1">
      <alignment horizontal="center"/>
    </xf>
    <xf numFmtId="172" fontId="18" fillId="0" borderId="2" xfId="5" applyNumberFormat="1" applyFont="1" applyBorder="1" applyAlignment="1">
      <alignment horizontal="center" vertical="center"/>
    </xf>
    <xf numFmtId="166" fontId="0" fillId="0" borderId="2" xfId="4" applyNumberFormat="1" applyFont="1" applyBorder="1" applyAlignment="1">
      <alignment horizontal="center"/>
    </xf>
    <xf numFmtId="0" fontId="15" fillId="0" borderId="2" xfId="3" applyBorder="1" applyAlignment="1">
      <alignment horizontal="center"/>
    </xf>
    <xf numFmtId="2" fontId="15" fillId="0" borderId="2" xfId="3" applyNumberFormat="1" applyBorder="1"/>
    <xf numFmtId="0" fontId="15" fillId="23" borderId="2" xfId="3" applyFill="1" applyBorder="1"/>
    <xf numFmtId="43" fontId="23" fillId="0" borderId="2" xfId="4" applyFont="1" applyBorder="1"/>
    <xf numFmtId="2" fontId="15" fillId="0" borderId="2" xfId="3" applyNumberFormat="1" applyBorder="1" applyAlignment="1">
      <alignment horizontal="center"/>
    </xf>
    <xf numFmtId="0" fontId="15" fillId="19" borderId="1" xfId="3" applyFill="1" applyBorder="1" applyAlignment="1">
      <alignment horizontal="center"/>
    </xf>
    <xf numFmtId="172" fontId="27" fillId="19" borderId="1" xfId="5" applyNumberFormat="1" applyFont="1" applyFill="1" applyBorder="1" applyAlignment="1">
      <alignment horizontal="center" vertical="center"/>
    </xf>
    <xf numFmtId="173" fontId="23" fillId="0" borderId="1" xfId="4" applyNumberFormat="1" applyFont="1" applyBorder="1"/>
    <xf numFmtId="2" fontId="17" fillId="23" borderId="1" xfId="3" applyNumberFormat="1" applyFont="1" applyFill="1" applyBorder="1"/>
    <xf numFmtId="0" fontId="17" fillId="23" borderId="1" xfId="3" applyFont="1" applyFill="1" applyBorder="1"/>
    <xf numFmtId="43" fontId="0" fillId="0" borderId="4" xfId="4" applyFont="1" applyBorder="1" applyAlignment="1">
      <alignment horizontal="center" vertical="center"/>
    </xf>
    <xf numFmtId="43" fontId="7" fillId="0" borderId="1" xfId="4" applyFont="1" applyBorder="1" applyAlignment="1">
      <alignment horizontal="center"/>
    </xf>
    <xf numFmtId="43" fontId="23" fillId="34" borderId="1" xfId="4" applyFont="1" applyFill="1" applyBorder="1"/>
    <xf numFmtId="14" fontId="15" fillId="0" borderId="10" xfId="3" applyNumberFormat="1" applyBorder="1"/>
    <xf numFmtId="43" fontId="7" fillId="0" borderId="2" xfId="4" applyFont="1" applyBorder="1" applyAlignment="1">
      <alignment horizontal="center"/>
    </xf>
    <xf numFmtId="14" fontId="15" fillId="0" borderId="1" xfId="3" applyNumberFormat="1" applyBorder="1"/>
    <xf numFmtId="43" fontId="0" fillId="0" borderId="1" xfId="4" applyFont="1" applyFill="1" applyBorder="1"/>
    <xf numFmtId="43" fontId="0" fillId="0" borderId="1" xfId="4" applyFont="1" applyFill="1" applyBorder="1" applyAlignment="1">
      <alignment horizontal="center" vertical="center"/>
    </xf>
    <xf numFmtId="9" fontId="18" fillId="0" borderId="1" xfId="5" applyFont="1" applyFill="1" applyBorder="1" applyAlignment="1">
      <alignment horizontal="center"/>
    </xf>
    <xf numFmtId="173" fontId="17" fillId="0" borderId="1" xfId="4" applyNumberFormat="1" applyFont="1" applyFill="1" applyBorder="1"/>
    <xf numFmtId="43" fontId="23" fillId="0" borderId="1" xfId="4" applyFont="1" applyFill="1" applyBorder="1" applyAlignment="1">
      <alignment horizontal="center"/>
    </xf>
    <xf numFmtId="2" fontId="22" fillId="0" borderId="1" xfId="3" applyNumberFormat="1" applyFont="1" applyBorder="1" applyAlignment="1">
      <alignment horizontal="center"/>
    </xf>
    <xf numFmtId="2" fontId="17" fillId="0" borderId="1" xfId="3" applyNumberFormat="1" applyFont="1" applyBorder="1" applyAlignment="1">
      <alignment horizontal="center"/>
    </xf>
    <xf numFmtId="0" fontId="17" fillId="19" borderId="1" xfId="3" applyFont="1" applyFill="1" applyBorder="1"/>
    <xf numFmtId="173" fontId="0" fillId="0" borderId="4" xfId="4" applyNumberFormat="1" applyFont="1" applyBorder="1" applyAlignment="1">
      <alignment horizontal="center"/>
    </xf>
    <xf numFmtId="172" fontId="16" fillId="0" borderId="4" xfId="5" applyNumberFormat="1" applyFont="1" applyBorder="1" applyAlignment="1">
      <alignment horizontal="center"/>
    </xf>
    <xf numFmtId="9" fontId="16" fillId="0" borderId="1" xfId="5" applyFont="1" applyBorder="1" applyAlignment="1">
      <alignment horizontal="center" vertical="center"/>
    </xf>
    <xf numFmtId="172" fontId="16" fillId="0" borderId="1" xfId="4" applyNumberFormat="1" applyFont="1" applyBorder="1" applyAlignment="1">
      <alignment horizontal="center" vertical="center"/>
    </xf>
    <xf numFmtId="0" fontId="15" fillId="35" borderId="1" xfId="3" applyFill="1" applyBorder="1"/>
    <xf numFmtId="43" fontId="23" fillId="23" borderId="0" xfId="4" applyFont="1" applyFill="1"/>
    <xf numFmtId="0" fontId="15" fillId="23" borderId="0" xfId="3" applyFill="1"/>
    <xf numFmtId="0" fontId="15" fillId="0" borderId="3" xfId="3" applyBorder="1"/>
    <xf numFmtId="43" fontId="0" fillId="0" borderId="0" xfId="4" applyFont="1"/>
    <xf numFmtId="0" fontId="23" fillId="0" borderId="0" xfId="3" applyFont="1" applyAlignment="1">
      <alignment horizontal="center"/>
    </xf>
    <xf numFmtId="43" fontId="0" fillId="0" borderId="0" xfId="4" applyFont="1" applyAlignment="1">
      <alignment horizontal="center" vertical="center"/>
    </xf>
    <xf numFmtId="0" fontId="15" fillId="0" borderId="0" xfId="3" applyAlignment="1">
      <alignment horizontal="center"/>
    </xf>
    <xf numFmtId="173" fontId="0" fillId="0" borderId="0" xfId="4" applyNumberFormat="1" applyFont="1"/>
    <xf numFmtId="166" fontId="0" fillId="0" borderId="0" xfId="4" applyNumberFormat="1" applyFont="1" applyAlignment="1">
      <alignment horizontal="center"/>
    </xf>
    <xf numFmtId="43" fontId="23" fillId="0" borderId="0" xfId="4" applyFont="1"/>
    <xf numFmtId="9" fontId="23" fillId="0" borderId="0" xfId="5" applyFont="1" applyAlignment="1">
      <alignment horizontal="center"/>
    </xf>
    <xf numFmtId="0" fontId="15" fillId="0" borderId="0" xfId="3" applyAlignment="1">
      <alignment horizontal="center" vertical="center"/>
    </xf>
    <xf numFmtId="172" fontId="0" fillId="0" borderId="0" xfId="5" applyNumberFormat="1" applyFont="1" applyAlignment="1">
      <alignment horizontal="center" vertical="center"/>
    </xf>
    <xf numFmtId="172" fontId="0" fillId="0" borderId="0" xfId="5" applyNumberFormat="1" applyFont="1" applyAlignment="1">
      <alignment horizontal="center"/>
    </xf>
    <xf numFmtId="43" fontId="23" fillId="0" borderId="0" xfId="4" applyFont="1" applyAlignment="1">
      <alignment horizontal="center"/>
    </xf>
    <xf numFmtId="172" fontId="23" fillId="0" borderId="0" xfId="5" applyNumberFormat="1" applyFont="1" applyAlignment="1">
      <alignment horizontal="center" vertical="center"/>
    </xf>
    <xf numFmtId="14" fontId="17" fillId="0" borderId="0" xfId="6" applyNumberFormat="1"/>
    <xf numFmtId="0" fontId="16" fillId="0" borderId="0" xfId="6" applyFont="1"/>
    <xf numFmtId="0" fontId="18" fillId="0" borderId="0" xfId="6" applyFont="1" applyAlignment="1">
      <alignment horizontal="center"/>
    </xf>
    <xf numFmtId="0" fontId="16" fillId="0" borderId="0" xfId="6" applyFont="1" applyAlignment="1">
      <alignment horizontal="center"/>
    </xf>
    <xf numFmtId="43" fontId="18" fillId="0" borderId="0" xfId="4" applyFont="1" applyAlignment="1">
      <alignment horizontal="center" vertical="center"/>
    </xf>
    <xf numFmtId="166" fontId="16" fillId="0" borderId="0" xfId="4" applyNumberFormat="1" applyFont="1" applyAlignment="1">
      <alignment horizontal="center" vertical="center"/>
    </xf>
    <xf numFmtId="0" fontId="17" fillId="0" borderId="0" xfId="6"/>
    <xf numFmtId="14" fontId="19" fillId="28" borderId="1" xfId="6" applyNumberFormat="1" applyFont="1" applyFill="1" applyBorder="1" applyAlignment="1">
      <alignment vertical="center"/>
    </xf>
    <xf numFmtId="0" fontId="19" fillId="28" borderId="1" xfId="6" applyFont="1" applyFill="1" applyBorder="1" applyAlignment="1">
      <alignment vertical="center"/>
    </xf>
    <xf numFmtId="43" fontId="19" fillId="28" borderId="1" xfId="4" applyFont="1" applyFill="1" applyBorder="1" applyAlignment="1">
      <alignment vertical="center"/>
    </xf>
    <xf numFmtId="0" fontId="20" fillId="28" borderId="1" xfId="6" applyFont="1" applyFill="1" applyBorder="1" applyAlignment="1">
      <alignment horizontal="center" vertical="center"/>
    </xf>
    <xf numFmtId="0" fontId="19" fillId="28" borderId="1" xfId="6" applyFont="1" applyFill="1" applyBorder="1" applyAlignment="1">
      <alignment horizontal="center" vertical="center"/>
    </xf>
    <xf numFmtId="9" fontId="20" fillId="27" borderId="1" xfId="5" applyFont="1" applyFill="1" applyBorder="1" applyAlignment="1">
      <alignment horizontal="center" vertical="center"/>
    </xf>
    <xf numFmtId="173" fontId="19" fillId="28" borderId="1" xfId="4" applyNumberFormat="1" applyFont="1" applyFill="1" applyBorder="1" applyAlignment="1">
      <alignment vertical="center"/>
    </xf>
    <xf numFmtId="172" fontId="19" fillId="28" borderId="1" xfId="5" applyNumberFormat="1" applyFont="1" applyFill="1" applyBorder="1" applyAlignment="1">
      <alignment horizontal="center" vertical="center"/>
    </xf>
    <xf numFmtId="172" fontId="20" fillId="28" borderId="1" xfId="5" applyNumberFormat="1" applyFont="1" applyFill="1" applyBorder="1" applyAlignment="1">
      <alignment horizontal="center" vertical="center"/>
    </xf>
    <xf numFmtId="43" fontId="20" fillId="25" borderId="1" xfId="4" applyFont="1" applyFill="1" applyBorder="1" applyAlignment="1">
      <alignment horizontal="center" vertical="center"/>
    </xf>
    <xf numFmtId="0" fontId="19" fillId="25" borderId="1" xfId="6" applyFont="1" applyFill="1" applyBorder="1" applyAlignment="1">
      <alignment horizontal="center" vertical="center"/>
    </xf>
    <xf numFmtId="166" fontId="19" fillId="28" borderId="1" xfId="4" applyNumberFormat="1" applyFont="1" applyFill="1" applyBorder="1" applyAlignment="1">
      <alignment horizontal="center" vertical="center"/>
    </xf>
    <xf numFmtId="0" fontId="19" fillId="30" borderId="1" xfId="6" applyFont="1" applyFill="1" applyBorder="1" applyAlignment="1">
      <alignment vertical="center"/>
    </xf>
    <xf numFmtId="2" fontId="19" fillId="30" borderId="1" xfId="6" applyNumberFormat="1" applyFont="1" applyFill="1" applyBorder="1" applyAlignment="1">
      <alignment vertical="center"/>
    </xf>
    <xf numFmtId="43" fontId="20" fillId="31" borderId="1" xfId="4" applyFont="1" applyFill="1" applyBorder="1" applyAlignment="1">
      <alignment vertical="center"/>
    </xf>
    <xf numFmtId="43" fontId="19" fillId="30" borderId="1" xfId="4" applyFont="1" applyFill="1" applyBorder="1" applyAlignment="1">
      <alignment vertical="center"/>
    </xf>
    <xf numFmtId="0" fontId="17" fillId="0" borderId="1" xfId="6" applyBorder="1" applyAlignment="1">
      <alignment vertical="center"/>
    </xf>
    <xf numFmtId="14" fontId="16" fillId="0" borderId="1" xfId="6" applyNumberFormat="1" applyFont="1" applyBorder="1"/>
    <xf numFmtId="0" fontId="16" fillId="0" borderId="1" xfId="6" applyFont="1" applyBorder="1"/>
    <xf numFmtId="43" fontId="16" fillId="0" borderId="1" xfId="4" applyFont="1" applyBorder="1"/>
    <xf numFmtId="0" fontId="18" fillId="0" borderId="1" xfId="6" applyFont="1" applyBorder="1" applyAlignment="1">
      <alignment horizontal="center"/>
    </xf>
    <xf numFmtId="0" fontId="16" fillId="0" borderId="1" xfId="6" applyFont="1" applyBorder="1" applyAlignment="1">
      <alignment horizontal="center"/>
    </xf>
    <xf numFmtId="173" fontId="16" fillId="0" borderId="1" xfId="4" applyNumberFormat="1" applyFont="1" applyBorder="1"/>
    <xf numFmtId="172" fontId="18" fillId="0" borderId="1" xfId="5" applyNumberFormat="1" applyFont="1" applyBorder="1" applyAlignment="1">
      <alignment horizontal="center"/>
    </xf>
    <xf numFmtId="43" fontId="18" fillId="0" borderId="1" xfId="4" applyFont="1" applyBorder="1" applyAlignment="1">
      <alignment horizontal="center" vertical="center"/>
    </xf>
    <xf numFmtId="166" fontId="16" fillId="0" borderId="1" xfId="4" applyNumberFormat="1" applyFont="1" applyBorder="1" applyAlignment="1">
      <alignment horizontal="center" vertical="center"/>
    </xf>
    <xf numFmtId="10" fontId="16" fillId="37" borderId="1" xfId="5" applyNumberFormat="1" applyFont="1" applyFill="1" applyBorder="1" applyAlignment="1">
      <alignment horizontal="center"/>
    </xf>
    <xf numFmtId="0" fontId="17" fillId="0" borderId="1" xfId="6" applyBorder="1"/>
    <xf numFmtId="0" fontId="17" fillId="0" borderId="1" xfId="6" applyBorder="1" applyAlignment="1">
      <alignment horizontal="right"/>
    </xf>
    <xf numFmtId="43" fontId="0" fillId="0" borderId="1" xfId="4" applyFont="1" applyBorder="1" applyAlignment="1">
      <alignment horizontal="right"/>
    </xf>
    <xf numFmtId="14" fontId="17" fillId="0" borderId="1" xfId="6" applyNumberFormat="1" applyBorder="1"/>
    <xf numFmtId="0" fontId="16" fillId="0" borderId="1" xfId="6" applyFont="1" applyBorder="1" applyAlignment="1">
      <alignment horizontal="center" vertical="center"/>
    </xf>
    <xf numFmtId="43" fontId="23" fillId="0" borderId="4" xfId="4" applyFont="1" applyBorder="1" applyAlignment="1">
      <alignment horizontal="center" vertical="center"/>
    </xf>
    <xf numFmtId="0" fontId="17" fillId="0" borderId="4" xfId="6" applyBorder="1" applyAlignment="1">
      <alignment horizontal="center" vertical="center"/>
    </xf>
    <xf numFmtId="0" fontId="17" fillId="0" borderId="1" xfId="6" applyBorder="1" applyAlignment="1">
      <alignment horizontal="center"/>
    </xf>
    <xf numFmtId="43" fontId="23" fillId="0" borderId="1" xfId="4" applyFont="1" applyBorder="1" applyAlignment="1">
      <alignment horizontal="center" vertical="center"/>
    </xf>
    <xf numFmtId="9" fontId="16" fillId="37" borderId="1" xfId="5" applyFont="1" applyFill="1" applyBorder="1" applyAlignment="1">
      <alignment horizontal="center"/>
    </xf>
    <xf numFmtId="0" fontId="17" fillId="0" borderId="4" xfId="6" applyBorder="1" applyAlignment="1">
      <alignment horizontal="center"/>
    </xf>
    <xf numFmtId="0" fontId="17" fillId="0" borderId="8" xfId="6" applyBorder="1"/>
    <xf numFmtId="0" fontId="23" fillId="0" borderId="4" xfId="6" applyFont="1" applyBorder="1" applyAlignment="1">
      <alignment horizontal="center"/>
    </xf>
    <xf numFmtId="0" fontId="23" fillId="0" borderId="1" xfId="6" applyFont="1" applyBorder="1" applyAlignment="1">
      <alignment horizontal="center"/>
    </xf>
    <xf numFmtId="166" fontId="0" fillId="0" borderId="1" xfId="4" applyNumberFormat="1" applyFont="1" applyBorder="1" applyAlignment="1">
      <alignment horizontal="center" vertical="center"/>
    </xf>
    <xf numFmtId="14" fontId="17" fillId="19" borderId="1" xfId="6" applyNumberFormat="1" applyFill="1" applyBorder="1"/>
    <xf numFmtId="0" fontId="28" fillId="0" borderId="1" xfId="6" applyFont="1" applyBorder="1" applyAlignment="1">
      <alignment horizontal="center" vertical="center"/>
    </xf>
    <xf numFmtId="43" fontId="23" fillId="0" borderId="1" xfId="4" applyFont="1" applyBorder="1" applyAlignment="1">
      <alignment horizontal="center" vertical="center" wrapText="1"/>
    </xf>
    <xf numFmtId="172" fontId="23" fillId="0" borderId="1" xfId="5" applyNumberFormat="1" applyFont="1" applyBorder="1" applyAlignment="1">
      <alignment horizontal="center" vertical="center"/>
    </xf>
    <xf numFmtId="9" fontId="0" fillId="0" borderId="1" xfId="5" applyFont="1" applyBorder="1" applyAlignment="1">
      <alignment horizontal="center"/>
    </xf>
    <xf numFmtId="0" fontId="17" fillId="0" borderId="0" xfId="6" applyAlignment="1">
      <alignment horizontal="center"/>
    </xf>
    <xf numFmtId="173" fontId="0" fillId="0" borderId="1" xfId="4" applyNumberFormat="1" applyFont="1" applyBorder="1" applyAlignment="1">
      <alignment horizontal="center"/>
    </xf>
    <xf numFmtId="9" fontId="18" fillId="0" borderId="1" xfId="5" applyFont="1" applyBorder="1" applyAlignment="1"/>
    <xf numFmtId="9" fontId="18" fillId="0" borderId="4" xfId="5" applyFont="1" applyBorder="1" applyAlignment="1"/>
    <xf numFmtId="43" fontId="0" fillId="0" borderId="1" xfId="4" applyFont="1" applyBorder="1" applyAlignment="1">
      <alignment horizontal="center"/>
    </xf>
    <xf numFmtId="2" fontId="17" fillId="0" borderId="1" xfId="6" applyNumberFormat="1" applyBorder="1" applyAlignment="1">
      <alignment horizontal="center"/>
    </xf>
    <xf numFmtId="0" fontId="23" fillId="19" borderId="4" xfId="6" applyFont="1" applyFill="1" applyBorder="1" applyAlignment="1">
      <alignment horizontal="center"/>
    </xf>
    <xf numFmtId="14" fontId="26" fillId="0" borderId="1" xfId="6" applyNumberFormat="1" applyFont="1" applyBorder="1"/>
    <xf numFmtId="0" fontId="17" fillId="38" borderId="1" xfId="6" applyFill="1" applyBorder="1"/>
    <xf numFmtId="0" fontId="17" fillId="19" borderId="1" xfId="6" applyFill="1" applyBorder="1" applyAlignment="1">
      <alignment horizontal="center"/>
    </xf>
    <xf numFmtId="0" fontId="23" fillId="0" borderId="0" xfId="6" applyFont="1" applyAlignment="1">
      <alignment horizontal="center"/>
    </xf>
    <xf numFmtId="43" fontId="23" fillId="0" borderId="0" xfId="4" applyFont="1" applyAlignment="1">
      <alignment horizontal="center" vertical="center"/>
    </xf>
    <xf numFmtId="166" fontId="0" fillId="0" borderId="0" xfId="4" applyNumberFormat="1" applyFont="1" applyAlignment="1">
      <alignment horizontal="center" vertical="center"/>
    </xf>
    <xf numFmtId="0" fontId="19" fillId="28" borderId="8" xfId="6" applyFont="1" applyFill="1" applyBorder="1" applyAlignment="1">
      <alignment vertical="center"/>
    </xf>
    <xf numFmtId="0" fontId="16" fillId="0" borderId="8" xfId="6" applyFont="1" applyBorder="1"/>
    <xf numFmtId="0" fontId="17" fillId="0" borderId="8" xfId="6" applyBorder="1" applyAlignment="1">
      <alignment horizontal="right"/>
    </xf>
    <xf numFmtId="0" fontId="17" fillId="0" borderId="0" xfId="6" applyAlignment="1">
      <alignment vertical="center"/>
    </xf>
    <xf numFmtId="1" fontId="16" fillId="5" borderId="0" xfId="6" applyNumberFormat="1" applyFont="1" applyFill="1" applyAlignment="1">
      <alignment horizontal="center" vertical="center"/>
    </xf>
    <xf numFmtId="1" fontId="18" fillId="5" borderId="1" xfId="6" applyNumberFormat="1" applyFont="1" applyFill="1" applyBorder="1" applyAlignment="1">
      <alignment horizontal="center" vertical="center"/>
    </xf>
    <xf numFmtId="1" fontId="16" fillId="5" borderId="4" xfId="6" applyNumberFormat="1" applyFont="1" applyFill="1" applyBorder="1" applyAlignment="1">
      <alignment horizontal="center" vertical="center"/>
    </xf>
    <xf numFmtId="1" fontId="16" fillId="5" borderId="1" xfId="6" applyNumberFormat="1" applyFont="1" applyFill="1" applyBorder="1" applyAlignment="1">
      <alignment horizontal="center" vertical="center"/>
    </xf>
    <xf numFmtId="0" fontId="17" fillId="5" borderId="0" xfId="6" applyFill="1" applyAlignment="1">
      <alignment horizontal="center" vertical="center"/>
    </xf>
    <xf numFmtId="1" fontId="19" fillId="39" borderId="1" xfId="6" applyNumberFormat="1" applyFont="1" applyFill="1" applyBorder="1" applyAlignment="1">
      <alignment horizontal="center" vertical="center"/>
    </xf>
    <xf numFmtId="1" fontId="16" fillId="0" borderId="0" xfId="6" applyNumberFormat="1" applyFont="1" applyAlignment="1">
      <alignment horizontal="center" vertical="center"/>
    </xf>
    <xf numFmtId="2" fontId="19" fillId="30" borderId="1" xfId="6" applyNumberFormat="1" applyFont="1" applyFill="1" applyBorder="1" applyAlignment="1">
      <alignment horizontal="center" vertical="center"/>
    </xf>
    <xf numFmtId="2" fontId="10" fillId="41" borderId="0" xfId="1" applyNumberFormat="1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166" fontId="3" fillId="13" borderId="0" xfId="1" applyNumberFormat="1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4" fillId="14" borderId="0" xfId="0" applyFont="1" applyFill="1" applyAlignment="1">
      <alignment horizontal="center"/>
    </xf>
    <xf numFmtId="0" fontId="3" fillId="14" borderId="0" xfId="0" applyFont="1" applyFill="1" applyAlignment="1">
      <alignment horizontal="center" vertical="center"/>
    </xf>
    <xf numFmtId="0" fontId="3" fillId="14" borderId="0" xfId="0" applyFont="1" applyFill="1" applyAlignment="1">
      <alignment horizontal="center" vertical="center" wrapText="1"/>
    </xf>
    <xf numFmtId="2" fontId="3" fillId="40" borderId="0" xfId="1" applyNumberFormat="1" applyFont="1" applyFill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3" fillId="0" borderId="2" xfId="3" applyFont="1" applyBorder="1" applyAlignment="1">
      <alignment horizontal="center" vertical="center"/>
    </xf>
    <xf numFmtId="0" fontId="23" fillId="0" borderId="4" xfId="3" applyFont="1" applyBorder="1" applyAlignment="1">
      <alignment horizontal="center" vertical="center"/>
    </xf>
    <xf numFmtId="0" fontId="23" fillId="0" borderId="2" xfId="3" applyFont="1" applyBorder="1" applyAlignment="1">
      <alignment horizontal="center"/>
    </xf>
    <xf numFmtId="0" fontId="23" fillId="0" borderId="4" xfId="3" applyFont="1" applyBorder="1" applyAlignment="1">
      <alignment horizontal="center"/>
    </xf>
    <xf numFmtId="43" fontId="0" fillId="0" borderId="2" xfId="4" applyFont="1" applyBorder="1" applyAlignment="1">
      <alignment horizontal="center" vertical="center"/>
    </xf>
    <xf numFmtId="43" fontId="0" fillId="0" borderId="4" xfId="4" applyFont="1" applyBorder="1" applyAlignment="1">
      <alignment horizontal="center" vertical="center"/>
    </xf>
    <xf numFmtId="43" fontId="0" fillId="0" borderId="3" xfId="4" applyFont="1" applyBorder="1" applyAlignment="1">
      <alignment horizontal="center" vertical="center"/>
    </xf>
    <xf numFmtId="9" fontId="18" fillId="0" borderId="2" xfId="5" applyFont="1" applyBorder="1" applyAlignment="1">
      <alignment horizontal="center"/>
    </xf>
    <xf numFmtId="9" fontId="18" fillId="0" borderId="3" xfId="5" applyFont="1" applyBorder="1" applyAlignment="1">
      <alignment horizontal="center"/>
    </xf>
    <xf numFmtId="9" fontId="18" fillId="0" borderId="4" xfId="5" applyFont="1" applyBorder="1" applyAlignment="1">
      <alignment horizontal="center"/>
    </xf>
    <xf numFmtId="0" fontId="15" fillId="0" borderId="8" xfId="3" applyBorder="1" applyAlignment="1">
      <alignment horizontal="center"/>
    </xf>
    <xf numFmtId="0" fontId="15" fillId="0" borderId="9" xfId="3" applyBorder="1" applyAlignment="1">
      <alignment horizontal="center"/>
    </xf>
    <xf numFmtId="0" fontId="15" fillId="0" borderId="7" xfId="3" applyBorder="1" applyAlignment="1">
      <alignment horizontal="center"/>
    </xf>
    <xf numFmtId="14" fontId="15" fillId="0" borderId="2" xfId="3" applyNumberFormat="1" applyBorder="1" applyAlignment="1">
      <alignment horizontal="center"/>
    </xf>
    <xf numFmtId="14" fontId="15" fillId="0" borderId="4" xfId="3" applyNumberFormat="1" applyBorder="1" applyAlignment="1">
      <alignment horizontal="center"/>
    </xf>
    <xf numFmtId="0" fontId="15" fillId="0" borderId="2" xfId="3" applyBorder="1" applyAlignment="1">
      <alignment horizontal="center"/>
    </xf>
    <xf numFmtId="0" fontId="15" fillId="0" borderId="4" xfId="3" applyBorder="1" applyAlignment="1">
      <alignment horizontal="center"/>
    </xf>
    <xf numFmtId="43" fontId="0" fillId="0" borderId="2" xfId="4" applyFont="1" applyBorder="1" applyAlignment="1">
      <alignment horizontal="center"/>
    </xf>
    <xf numFmtId="43" fontId="0" fillId="0" borderId="4" xfId="4" applyFont="1" applyBorder="1" applyAlignment="1">
      <alignment horizontal="center"/>
    </xf>
    <xf numFmtId="0" fontId="23" fillId="0" borderId="3" xfId="3" applyFont="1" applyBorder="1" applyAlignment="1">
      <alignment horizontal="center" vertical="center"/>
    </xf>
    <xf numFmtId="0" fontId="23" fillId="0" borderId="3" xfId="3" applyFont="1" applyBorder="1" applyAlignment="1">
      <alignment horizontal="center"/>
    </xf>
    <xf numFmtId="0" fontId="15" fillId="0" borderId="0" xfId="3"/>
    <xf numFmtId="173" fontId="0" fillId="0" borderId="2" xfId="4" applyNumberFormat="1" applyFont="1" applyBorder="1" applyAlignment="1">
      <alignment horizontal="center"/>
    </xf>
    <xf numFmtId="173" fontId="0" fillId="0" borderId="4" xfId="4" applyNumberFormat="1" applyFont="1" applyBorder="1" applyAlignment="1">
      <alignment horizontal="center"/>
    </xf>
    <xf numFmtId="172" fontId="16" fillId="0" borderId="2" xfId="5" applyNumberFormat="1" applyFont="1" applyBorder="1" applyAlignment="1">
      <alignment horizontal="center"/>
    </xf>
    <xf numFmtId="172" fontId="16" fillId="0" borderId="4" xfId="5" applyNumberFormat="1" applyFont="1" applyBorder="1" applyAlignment="1">
      <alignment horizontal="center"/>
    </xf>
    <xf numFmtId="43" fontId="18" fillId="0" borderId="2" xfId="4" applyFont="1" applyBorder="1" applyAlignment="1">
      <alignment horizontal="center"/>
    </xf>
    <xf numFmtId="43" fontId="18" fillId="0" borderId="4" xfId="4" applyFont="1" applyBorder="1" applyAlignment="1">
      <alignment horizontal="center"/>
    </xf>
    <xf numFmtId="9" fontId="18" fillId="0" borderId="2" xfId="5" applyFont="1" applyFill="1" applyBorder="1" applyAlignment="1">
      <alignment horizontal="center" vertical="center"/>
    </xf>
    <xf numFmtId="9" fontId="18" fillId="0" borderId="4" xfId="5" applyFont="1" applyFill="1" applyBorder="1" applyAlignment="1">
      <alignment horizontal="center" vertical="center"/>
    </xf>
    <xf numFmtId="9" fontId="18" fillId="0" borderId="2" xfId="5" applyFont="1" applyFill="1" applyBorder="1" applyAlignment="1">
      <alignment horizontal="center"/>
    </xf>
    <xf numFmtId="9" fontId="18" fillId="0" borderId="4" xfId="5" applyFont="1" applyFill="1" applyBorder="1" applyAlignment="1">
      <alignment horizontal="center"/>
    </xf>
    <xf numFmtId="172" fontId="16" fillId="0" borderId="2" xfId="5" applyNumberFormat="1" applyFont="1" applyFill="1" applyBorder="1" applyAlignment="1">
      <alignment horizontal="center" vertical="center"/>
    </xf>
    <xf numFmtId="172" fontId="16" fillId="0" borderId="4" xfId="5" applyNumberFormat="1" applyFont="1" applyFill="1" applyBorder="1" applyAlignment="1">
      <alignment horizontal="center" vertical="center"/>
    </xf>
    <xf numFmtId="172" fontId="18" fillId="0" borderId="2" xfId="5" applyNumberFormat="1" applyFont="1" applyBorder="1" applyAlignment="1">
      <alignment horizontal="center" vertical="center"/>
    </xf>
    <xf numFmtId="172" fontId="18" fillId="0" borderId="4" xfId="5" applyNumberFormat="1" applyFont="1" applyBorder="1" applyAlignment="1">
      <alignment horizontal="center" vertical="center"/>
    </xf>
    <xf numFmtId="1" fontId="16" fillId="0" borderId="2" xfId="3" applyNumberFormat="1" applyFont="1" applyBorder="1" applyAlignment="1">
      <alignment horizontal="center" vertical="center"/>
    </xf>
    <xf numFmtId="1" fontId="16" fillId="0" borderId="4" xfId="3" applyNumberFormat="1" applyFont="1" applyBorder="1" applyAlignment="1">
      <alignment horizontal="center" vertical="center"/>
    </xf>
    <xf numFmtId="172" fontId="16" fillId="0" borderId="2" xfId="5" applyNumberFormat="1" applyFont="1" applyBorder="1" applyAlignment="1">
      <alignment horizontal="center" vertical="center"/>
    </xf>
    <xf numFmtId="172" fontId="16" fillId="0" borderId="4" xfId="5" applyNumberFormat="1" applyFont="1" applyBorder="1" applyAlignment="1">
      <alignment horizontal="center" vertical="center"/>
    </xf>
    <xf numFmtId="0" fontId="16" fillId="29" borderId="11" xfId="6" applyFont="1" applyFill="1" applyBorder="1" applyAlignment="1">
      <alignment horizontal="center"/>
    </xf>
    <xf numFmtId="0" fontId="16" fillId="36" borderId="1" xfId="6" applyFont="1" applyFill="1" applyBorder="1" applyAlignment="1">
      <alignment horizontal="center"/>
    </xf>
    <xf numFmtId="1" fontId="18" fillId="5" borderId="2" xfId="6" applyNumberFormat="1" applyFont="1" applyFill="1" applyBorder="1" applyAlignment="1">
      <alignment horizontal="center" vertical="center"/>
    </xf>
    <xf numFmtId="1" fontId="18" fillId="5" borderId="4" xfId="6" applyNumberFormat="1" applyFont="1" applyFill="1" applyBorder="1" applyAlignment="1">
      <alignment horizontal="center" vertical="center"/>
    </xf>
    <xf numFmtId="9" fontId="23" fillId="0" borderId="4" xfId="5" applyFont="1" applyBorder="1" applyAlignment="1">
      <alignment horizontal="center"/>
    </xf>
    <xf numFmtId="173" fontId="16" fillId="0" borderId="2" xfId="4" applyNumberFormat="1" applyFont="1" applyBorder="1" applyAlignment="1">
      <alignment horizontal="center"/>
    </xf>
    <xf numFmtId="173" fontId="16" fillId="0" borderId="4" xfId="4" applyNumberFormat="1" applyFont="1" applyBorder="1" applyAlignment="1">
      <alignment horizontal="center"/>
    </xf>
    <xf numFmtId="43" fontId="18" fillId="0" borderId="2" xfId="4" applyFont="1" applyBorder="1" applyAlignment="1">
      <alignment horizontal="center" vertical="center"/>
    </xf>
    <xf numFmtId="43" fontId="23" fillId="0" borderId="3" xfId="4" applyFont="1" applyBorder="1" applyAlignment="1">
      <alignment horizontal="center" vertical="center"/>
    </xf>
    <xf numFmtId="43" fontId="23" fillId="0" borderId="4" xfId="4" applyFont="1" applyBorder="1" applyAlignment="1">
      <alignment horizontal="center" vertical="center"/>
    </xf>
    <xf numFmtId="0" fontId="16" fillId="0" borderId="2" xfId="6" applyFont="1" applyBorder="1" applyAlignment="1">
      <alignment horizontal="center" vertical="center"/>
    </xf>
    <xf numFmtId="0" fontId="16" fillId="0" borderId="3" xfId="6" applyFont="1" applyBorder="1" applyAlignment="1">
      <alignment horizontal="center" vertical="center"/>
    </xf>
    <xf numFmtId="0" fontId="16" fillId="0" borderId="4" xfId="6" applyFont="1" applyBorder="1" applyAlignment="1">
      <alignment horizontal="center" vertical="center"/>
    </xf>
    <xf numFmtId="173" fontId="16" fillId="0" borderId="2" xfId="4" applyNumberFormat="1" applyFont="1" applyBorder="1" applyAlignment="1">
      <alignment horizontal="center" vertical="center"/>
    </xf>
    <xf numFmtId="173" fontId="16" fillId="0" borderId="3" xfId="4" applyNumberFormat="1" applyFont="1" applyBorder="1" applyAlignment="1">
      <alignment horizontal="center" vertical="center"/>
    </xf>
    <xf numFmtId="173" fontId="16" fillId="0" borderId="4" xfId="4" applyNumberFormat="1" applyFont="1" applyBorder="1" applyAlignment="1">
      <alignment horizontal="center" vertical="center"/>
    </xf>
    <xf numFmtId="0" fontId="18" fillId="0" borderId="2" xfId="6" applyFont="1" applyBorder="1" applyAlignment="1">
      <alignment horizontal="center" vertical="center"/>
    </xf>
    <xf numFmtId="0" fontId="18" fillId="0" borderId="3" xfId="6" applyFont="1" applyBorder="1" applyAlignment="1">
      <alignment horizontal="center" vertical="center"/>
    </xf>
    <xf numFmtId="0" fontId="18" fillId="0" borderId="4" xfId="6" applyFont="1" applyBorder="1" applyAlignment="1">
      <alignment horizontal="center" vertical="center"/>
    </xf>
    <xf numFmtId="172" fontId="18" fillId="0" borderId="3" xfId="5" applyNumberFormat="1" applyFont="1" applyBorder="1" applyAlignment="1">
      <alignment horizontal="center" vertical="center"/>
    </xf>
    <xf numFmtId="166" fontId="16" fillId="0" borderId="2" xfId="4" applyNumberFormat="1" applyFont="1" applyBorder="1" applyAlignment="1">
      <alignment horizontal="center" vertical="center"/>
    </xf>
    <xf numFmtId="166" fontId="16" fillId="0" borderId="3" xfId="4" applyNumberFormat="1" applyFont="1" applyBorder="1" applyAlignment="1">
      <alignment horizontal="center" vertical="center"/>
    </xf>
    <xf numFmtId="166" fontId="16" fillId="0" borderId="4" xfId="4" applyNumberFormat="1" applyFont="1" applyBorder="1" applyAlignment="1">
      <alignment horizontal="center" vertical="center"/>
    </xf>
    <xf numFmtId="10" fontId="16" fillId="0" borderId="2" xfId="5" applyNumberFormat="1" applyFont="1" applyBorder="1" applyAlignment="1">
      <alignment horizontal="center"/>
    </xf>
    <xf numFmtId="10" fontId="16" fillId="0" borderId="3" xfId="5" applyNumberFormat="1" applyFont="1" applyBorder="1" applyAlignment="1">
      <alignment horizontal="center"/>
    </xf>
    <xf numFmtId="10" fontId="16" fillId="0" borderId="4" xfId="5" applyNumberFormat="1" applyFont="1" applyBorder="1" applyAlignment="1">
      <alignment horizontal="center"/>
    </xf>
    <xf numFmtId="0" fontId="17" fillId="0" borderId="2" xfId="6" applyBorder="1" applyAlignment="1">
      <alignment horizontal="center" vertical="center"/>
    </xf>
    <xf numFmtId="0" fontId="17" fillId="0" borderId="4" xfId="6" applyBorder="1" applyAlignment="1">
      <alignment horizontal="center" vertical="center"/>
    </xf>
    <xf numFmtId="0" fontId="17" fillId="0" borderId="3" xfId="6" applyBorder="1" applyAlignment="1">
      <alignment horizontal="center" vertical="center"/>
    </xf>
    <xf numFmtId="0" fontId="17" fillId="0" borderId="2" xfId="6" applyBorder="1" applyAlignment="1">
      <alignment horizontal="center" vertical="center" wrapText="1"/>
    </xf>
    <xf numFmtId="0" fontId="17" fillId="0" borderId="3" xfId="6" applyBorder="1" applyAlignment="1">
      <alignment horizontal="center" vertical="center" wrapText="1"/>
    </xf>
    <xf numFmtId="0" fontId="17" fillId="0" borderId="4" xfId="6" applyBorder="1" applyAlignment="1">
      <alignment horizontal="center" vertical="center" wrapText="1"/>
    </xf>
    <xf numFmtId="1" fontId="18" fillId="5" borderId="3" xfId="6" applyNumberFormat="1" applyFont="1" applyFill="1" applyBorder="1" applyAlignment="1">
      <alignment horizontal="center" vertical="center"/>
    </xf>
    <xf numFmtId="9" fontId="18" fillId="0" borderId="2" xfId="5" applyFont="1" applyBorder="1" applyAlignment="1">
      <alignment horizontal="center" vertical="center"/>
    </xf>
    <xf numFmtId="9" fontId="18" fillId="0" borderId="3" xfId="5" applyFont="1" applyBorder="1" applyAlignment="1">
      <alignment horizontal="center" vertical="center"/>
    </xf>
    <xf numFmtId="9" fontId="18" fillId="0" borderId="4" xfId="5" applyFont="1" applyBorder="1" applyAlignment="1">
      <alignment horizontal="center" vertical="center"/>
    </xf>
    <xf numFmtId="172" fontId="23" fillId="0" borderId="2" xfId="5" applyNumberFormat="1" applyFont="1" applyBorder="1" applyAlignment="1">
      <alignment horizontal="center" vertical="center"/>
    </xf>
    <xf numFmtId="172" fontId="23" fillId="0" borderId="4" xfId="5" applyNumberFormat="1" applyFont="1" applyBorder="1" applyAlignment="1">
      <alignment horizontal="center" vertical="center"/>
    </xf>
    <xf numFmtId="9" fontId="16" fillId="37" borderId="2" xfId="5" applyFont="1" applyFill="1" applyBorder="1" applyAlignment="1">
      <alignment horizontal="center"/>
    </xf>
    <xf numFmtId="9" fontId="16" fillId="37" borderId="4" xfId="5" applyFont="1" applyFill="1" applyBorder="1" applyAlignment="1">
      <alignment horizontal="center"/>
    </xf>
    <xf numFmtId="172" fontId="18" fillId="0" borderId="2" xfId="5" applyNumberFormat="1" applyFont="1" applyBorder="1" applyAlignment="1">
      <alignment horizontal="center"/>
    </xf>
    <xf numFmtId="172" fontId="18" fillId="0" borderId="4" xfId="5" applyNumberFormat="1" applyFont="1" applyBorder="1" applyAlignment="1">
      <alignment horizontal="center"/>
    </xf>
    <xf numFmtId="43" fontId="23" fillId="0" borderId="2" xfId="4" applyFont="1" applyBorder="1" applyAlignment="1">
      <alignment horizontal="center" vertical="center" wrapText="1"/>
    </xf>
    <xf numFmtId="0" fontId="17" fillId="0" borderId="2" xfId="6" applyBorder="1" applyAlignment="1">
      <alignment horizontal="center"/>
    </xf>
    <xf numFmtId="0" fontId="17" fillId="0" borderId="4" xfId="6" applyBorder="1" applyAlignment="1">
      <alignment horizontal="center"/>
    </xf>
    <xf numFmtId="0" fontId="23" fillId="0" borderId="2" xfId="6" applyFont="1" applyBorder="1" applyAlignment="1">
      <alignment horizontal="center"/>
    </xf>
    <xf numFmtId="0" fontId="23" fillId="0" borderId="4" xfId="6" applyFont="1" applyBorder="1" applyAlignment="1">
      <alignment horizontal="center"/>
    </xf>
    <xf numFmtId="172" fontId="16" fillId="0" borderId="3" xfId="5" applyNumberFormat="1" applyFont="1" applyBorder="1" applyAlignment="1">
      <alignment horizontal="center"/>
    </xf>
    <xf numFmtId="0" fontId="23" fillId="0" borderId="3" xfId="6" applyFont="1" applyBorder="1" applyAlignment="1">
      <alignment horizontal="center"/>
    </xf>
    <xf numFmtId="0" fontId="17" fillId="0" borderId="3" xfId="6" applyBorder="1" applyAlignment="1">
      <alignment horizontal="center"/>
    </xf>
    <xf numFmtId="173" fontId="0" fillId="0" borderId="3" xfId="4" applyNumberFormat="1" applyFont="1" applyBorder="1" applyAlignment="1">
      <alignment horizontal="center"/>
    </xf>
    <xf numFmtId="43" fontId="23" fillId="0" borderId="3" xfId="4" applyFont="1" applyBorder="1" applyAlignment="1">
      <alignment horizontal="center" vertical="center" wrapText="1"/>
    </xf>
    <xf numFmtId="43" fontId="23" fillId="0" borderId="4" xfId="4" applyFont="1" applyBorder="1" applyAlignment="1">
      <alignment horizontal="center" vertical="center" wrapText="1"/>
    </xf>
    <xf numFmtId="166" fontId="0" fillId="0" borderId="2" xfId="4" applyNumberFormat="1" applyFont="1" applyBorder="1" applyAlignment="1">
      <alignment horizontal="center" vertical="center"/>
    </xf>
    <xf numFmtId="166" fontId="0" fillId="0" borderId="3" xfId="4" applyNumberFormat="1" applyFont="1" applyBorder="1" applyAlignment="1">
      <alignment horizontal="center" vertical="center"/>
    </xf>
    <xf numFmtId="166" fontId="0" fillId="0" borderId="4" xfId="4" applyNumberFormat="1" applyFont="1" applyBorder="1" applyAlignment="1">
      <alignment horizontal="center" vertical="center"/>
    </xf>
    <xf numFmtId="172" fontId="0" fillId="0" borderId="2" xfId="5" applyNumberFormat="1" applyFont="1" applyBorder="1" applyAlignment="1">
      <alignment horizontal="center"/>
    </xf>
    <xf numFmtId="172" fontId="0" fillId="0" borderId="4" xfId="5" applyNumberFormat="1" applyFont="1" applyBorder="1" applyAlignment="1">
      <alignment horizontal="center"/>
    </xf>
    <xf numFmtId="9" fontId="0" fillId="0" borderId="2" xfId="5" applyFont="1" applyBorder="1" applyAlignment="1">
      <alignment horizontal="center"/>
    </xf>
    <xf numFmtId="9" fontId="0" fillId="0" borderId="4" xfId="5" applyFont="1" applyBorder="1" applyAlignment="1">
      <alignment horizontal="center"/>
    </xf>
    <xf numFmtId="43" fontId="23" fillId="0" borderId="2" xfId="4" applyFont="1" applyBorder="1" applyAlignment="1">
      <alignment horizontal="center" vertical="center"/>
    </xf>
    <xf numFmtId="0" fontId="23" fillId="0" borderId="2" xfId="6" applyFont="1" applyBorder="1" applyAlignment="1">
      <alignment horizontal="center" vertical="center"/>
    </xf>
    <xf numFmtId="0" fontId="23" fillId="0" borderId="3" xfId="6" applyFont="1" applyBorder="1" applyAlignment="1">
      <alignment horizontal="center" vertical="center"/>
    </xf>
    <xf numFmtId="0" fontId="23" fillId="0" borderId="4" xfId="6" applyFont="1" applyBorder="1" applyAlignment="1">
      <alignment horizontal="center" vertical="center"/>
    </xf>
    <xf numFmtId="172" fontId="23" fillId="0" borderId="3" xfId="5" applyNumberFormat="1" applyFont="1" applyBorder="1" applyAlignment="1">
      <alignment horizontal="center" vertical="center"/>
    </xf>
    <xf numFmtId="173" fontId="0" fillId="0" borderId="2" xfId="4" applyNumberFormat="1" applyFont="1" applyBorder="1" applyAlignment="1">
      <alignment horizontal="center" vertical="center"/>
    </xf>
    <xf numFmtId="173" fontId="0" fillId="0" borderId="3" xfId="4" applyNumberFormat="1" applyFont="1" applyBorder="1" applyAlignment="1">
      <alignment horizontal="center" vertical="center"/>
    </xf>
    <xf numFmtId="173" fontId="0" fillId="0" borderId="4" xfId="4" applyNumberFormat="1" applyFont="1" applyBorder="1" applyAlignment="1">
      <alignment horizontal="center" vertical="center"/>
    </xf>
    <xf numFmtId="1" fontId="16" fillId="5" borderId="2" xfId="6" applyNumberFormat="1" applyFont="1" applyFill="1" applyBorder="1" applyAlignment="1">
      <alignment horizontal="center" vertical="center"/>
    </xf>
    <xf numFmtId="1" fontId="16" fillId="5" borderId="4" xfId="6" applyNumberFormat="1" applyFont="1" applyFill="1" applyBorder="1" applyAlignment="1">
      <alignment horizontal="center" vertical="center"/>
    </xf>
    <xf numFmtId="1" fontId="16" fillId="5" borderId="3" xfId="6" applyNumberFormat="1" applyFont="1" applyFill="1" applyBorder="1" applyAlignment="1">
      <alignment horizontal="center" vertical="center"/>
    </xf>
    <xf numFmtId="0" fontId="17" fillId="0" borderId="2" xfId="6" applyBorder="1" applyAlignment="1">
      <alignment horizontal="center" wrapText="1"/>
    </xf>
    <xf numFmtId="172" fontId="16" fillId="0" borderId="3" xfId="5" applyNumberFormat="1" applyFont="1" applyBorder="1" applyAlignment="1">
      <alignment horizontal="center" vertical="center"/>
    </xf>
    <xf numFmtId="166" fontId="17" fillId="0" borderId="2" xfId="6" applyNumberFormat="1" applyBorder="1" applyAlignment="1">
      <alignment horizontal="center"/>
    </xf>
    <xf numFmtId="166" fontId="17" fillId="0" borderId="3" xfId="6" applyNumberFormat="1" applyBorder="1" applyAlignment="1">
      <alignment horizontal="center"/>
    </xf>
    <xf numFmtId="166" fontId="17" fillId="0" borderId="4" xfId="6" applyNumberFormat="1" applyBorder="1" applyAlignment="1">
      <alignment horizontal="center"/>
    </xf>
    <xf numFmtId="43" fontId="23" fillId="0" borderId="2" xfId="4" applyFont="1" applyBorder="1" applyAlignment="1">
      <alignment vertical="center" wrapText="1"/>
    </xf>
    <xf numFmtId="43" fontId="23" fillId="0" borderId="3" xfId="4" applyFont="1" applyBorder="1" applyAlignment="1">
      <alignment vertical="center" wrapText="1"/>
    </xf>
    <xf numFmtId="43" fontId="23" fillId="0" borderId="4" xfId="4" applyFont="1" applyBorder="1" applyAlignment="1">
      <alignment vertical="center" wrapText="1"/>
    </xf>
    <xf numFmtId="0" fontId="17" fillId="0" borderId="2" xfId="6" applyBorder="1" applyAlignment="1">
      <alignment vertical="center"/>
    </xf>
    <xf numFmtId="0" fontId="17" fillId="0" borderId="3" xfId="6" applyBorder="1" applyAlignment="1">
      <alignment vertical="center"/>
    </xf>
    <xf numFmtId="0" fontId="17" fillId="0" borderId="4" xfId="6" applyBorder="1" applyAlignment="1">
      <alignment vertical="center"/>
    </xf>
    <xf numFmtId="43" fontId="23" fillId="0" borderId="2" xfId="4" applyFont="1" applyBorder="1" applyAlignment="1">
      <alignment horizontal="center"/>
    </xf>
    <xf numFmtId="43" fontId="23" fillId="0" borderId="4" xfId="4" applyFont="1" applyBorder="1" applyAlignment="1">
      <alignment horizontal="center"/>
    </xf>
    <xf numFmtId="172" fontId="23" fillId="0" borderId="2" xfId="5" applyNumberFormat="1" applyFont="1" applyBorder="1" applyAlignment="1">
      <alignment horizontal="center" vertical="center" wrapText="1"/>
    </xf>
    <xf numFmtId="172" fontId="23" fillId="0" borderId="3" xfId="5" applyNumberFormat="1" applyFont="1" applyBorder="1" applyAlignment="1">
      <alignment horizontal="center" vertical="center" wrapText="1"/>
    </xf>
    <xf numFmtId="172" fontId="23" fillId="0" borderId="4" xfId="5" applyNumberFormat="1" applyFont="1" applyBorder="1" applyAlignment="1">
      <alignment horizontal="center" vertical="center" wrapText="1"/>
    </xf>
    <xf numFmtId="43" fontId="23" fillId="0" borderId="2" xfId="4" applyFont="1" applyBorder="1" applyAlignment="1">
      <alignment vertical="center"/>
    </xf>
    <xf numFmtId="43" fontId="23" fillId="0" borderId="3" xfId="4" applyFont="1" applyBorder="1" applyAlignment="1">
      <alignment vertical="center"/>
    </xf>
    <xf numFmtId="43" fontId="23" fillId="0" borderId="4" xfId="4" applyFont="1" applyBorder="1" applyAlignment="1">
      <alignment vertical="center"/>
    </xf>
    <xf numFmtId="43" fontId="0" fillId="0" borderId="2" xfId="4" applyFont="1" applyBorder="1" applyAlignment="1">
      <alignment vertical="center"/>
    </xf>
    <xf numFmtId="43" fontId="0" fillId="0" borderId="3" xfId="4" applyFont="1" applyBorder="1" applyAlignment="1">
      <alignment vertical="center"/>
    </xf>
    <xf numFmtId="43" fontId="0" fillId="0" borderId="4" xfId="4" applyFont="1" applyBorder="1" applyAlignment="1">
      <alignment vertical="center"/>
    </xf>
    <xf numFmtId="43" fontId="23" fillId="0" borderId="3" xfId="4" applyFont="1" applyBorder="1" applyAlignment="1">
      <alignment horizontal="center"/>
    </xf>
    <xf numFmtId="43" fontId="0" fillId="0" borderId="3" xfId="4" applyFont="1" applyBorder="1" applyAlignment="1">
      <alignment horizontal="center"/>
    </xf>
    <xf numFmtId="9" fontId="23" fillId="0" borderId="2" xfId="5" applyFont="1" applyBorder="1" applyAlignment="1">
      <alignment horizontal="center" vertical="center"/>
    </xf>
    <xf numFmtId="9" fontId="23" fillId="0" borderId="3" xfId="5" applyFont="1" applyBorder="1" applyAlignment="1">
      <alignment horizontal="center" vertical="center"/>
    </xf>
    <xf numFmtId="9" fontId="23" fillId="0" borderId="4" xfId="5" applyFont="1" applyBorder="1" applyAlignment="1">
      <alignment horizontal="center" vertical="center"/>
    </xf>
    <xf numFmtId="0" fontId="17" fillId="0" borderId="1" xfId="6" applyBorder="1" applyAlignment="1">
      <alignment horizontal="center" vertical="center"/>
    </xf>
  </cellXfs>
  <cellStyles count="7">
    <cellStyle name="Comma" xfId="1" builtinId="3"/>
    <cellStyle name="Currency" xfId="2" builtinId="4"/>
    <cellStyle name="Millares 2" xfId="4" xr:uid="{889A9BB4-2515-4DB4-B84B-D46077156298}"/>
    <cellStyle name="Normal" xfId="0" builtinId="0"/>
    <cellStyle name="Normal 2" xfId="3" xr:uid="{7B46B061-0BB2-4562-9EF4-2AE3F88269EB}"/>
    <cellStyle name="Normal 3" xfId="6" xr:uid="{A08AADDF-2B37-457E-A61C-F71880E9D620}"/>
    <cellStyle name="Porcentaje 2" xfId="5" xr:uid="{D0A08DAB-DC43-47CE-AB2B-D386A46E16CD}"/>
  </cellStyles>
  <dxfs count="104">
    <dxf>
      <fill>
        <patternFill>
          <bgColor theme="2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2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theme="2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2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theme="2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scheme val="minor"/>
      </font>
      <numFmt numFmtId="166" formatCode="_-* #,##0_-;\-* #,##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72" formatCode="0.0%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72" formatCode="0.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scheme val="minor"/>
      </font>
      <numFmt numFmtId="173" formatCode="_-* #,##0.0_-;\-* #,##0.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72" formatCode="0.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family val="2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ptos Narrow"/>
        <family val="2"/>
        <scheme val="minor"/>
      </font>
      <fill>
        <patternFill patternType="solid">
          <fgColor rgb="FF999999"/>
          <bgColor rgb="FF999999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rgb="FF000000"/>
          <bgColor rgb="FFE2EFD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rgb="FF000000"/>
          <bgColor rgb="FFE2EFD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74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74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74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74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74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171" formatCode="d/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70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74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9" formatCode="0.00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9" formatCode="0.00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9" formatCode="0.00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7" formatCode="_-* #,##0.000_-;\-* #,##0.000_-;_-* &quot;-&quot;??_-;_-@_-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9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74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74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1499984740745262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ontexanic1122-my.sharepoint.com/personal/mtristan_montexanic1122_onmicrosoft_com/Documents/ENOLOG&#205;A/VENDIMIA%202025%20-%20ENOLOGIA/Blancos%202025.xlsx" TargetMode="External"/><Relationship Id="rId1" Type="http://schemas.openxmlformats.org/officeDocument/2006/relationships/externalLinkPath" Target="https://montexanic1122-my.sharepoint.com/personal/mtristan_montexanic1122_onmicrosoft_com/Documents/ENOLOG&#205;A/VENDIMIA%202025%20-%20ENOLOGIA/Blancos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  <sheetName val="PRENSAS"/>
    </sheetNames>
    <sheetDataSet>
      <sheetData sheetId="0"/>
      <sheetData sheetId="1">
        <row r="2">
          <cell r="E2">
            <v>1124</v>
          </cell>
        </row>
        <row r="3">
          <cell r="E3">
            <v>1536</v>
          </cell>
        </row>
        <row r="4">
          <cell r="E4">
            <v>1577</v>
          </cell>
        </row>
        <row r="5">
          <cell r="E5">
            <v>767</v>
          </cell>
        </row>
        <row r="6">
          <cell r="E6">
            <v>267</v>
          </cell>
        </row>
        <row r="7">
          <cell r="E7">
            <v>672</v>
          </cell>
        </row>
        <row r="9">
          <cell r="E9">
            <v>945</v>
          </cell>
        </row>
        <row r="11">
          <cell r="E11">
            <v>922</v>
          </cell>
        </row>
        <row r="14">
          <cell r="E14">
            <v>423</v>
          </cell>
        </row>
        <row r="16">
          <cell r="E16">
            <v>153</v>
          </cell>
        </row>
        <row r="18">
          <cell r="E18">
            <v>442</v>
          </cell>
        </row>
        <row r="19">
          <cell r="E19">
            <v>730</v>
          </cell>
        </row>
        <row r="25">
          <cell r="E25">
            <v>595</v>
          </cell>
        </row>
        <row r="26">
          <cell r="E26">
            <v>595</v>
          </cell>
        </row>
        <row r="32">
          <cell r="E32">
            <v>307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arina Tristan" id="{D63F805F-DA5E-4AD0-86CF-873B56784BAF}" userId="S::mtristan@MonteXanic1122.onmicrosoft.com::69cd6c31-758a-47f2-9dfc-7cac1c0ff6d5" providerId="AD"/>
  <person displayName="Adriana Gonzalez" id="{FD2C8D27-6085-4209-80B7-F924ACEE2674}" userId="S::auxiliarenologia@MonteXanic1122.onmicrosoft.com::b9ff3587-5bac-4052-bf2c-9cac40980828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9B3A74-65B6-48B5-ACA3-4B4AECA3B444}" name="Tabla3" displayName="Tabla3" ref="A5:AP121" totalsRowShown="0" headerRowDxfId="103" dataDxfId="102">
  <autoFilter ref="A5:AP121" xr:uid="{9F9B3A74-65B6-48B5-ACA3-4B4AECA3B444}"/>
  <sortState xmlns:xlrd2="http://schemas.microsoft.com/office/spreadsheetml/2017/richdata2" ref="A6:AP121">
    <sortCondition descending="1" ref="AD5:AD121"/>
  </sortState>
  <tableColumns count="42">
    <tableColumn id="1" xr3:uid="{1A301ECA-7DB9-4AF3-A404-38C59A322388}" name="No. Reporte" dataDxfId="101"/>
    <tableColumn id="2" xr3:uid="{D481881D-FE7E-4FF2-80A2-32E6BCE0DA2B}" name="Fecha recepción de uva" dataDxfId="100"/>
    <tableColumn id="3" xr3:uid="{1800D58F-FEFC-448F-B7EC-60F1A87ACD9B}" name="Fecha medición técnica" dataDxfId="99"/>
    <tableColumn id="4" xr3:uid="{BE956BF8-5416-4144-A0A9-55DE2BAE66CC}" name="Total" dataDxfId="98"/>
    <tableColumn id="5" xr3:uid="{9FD0ECFE-6D70-4C03-99D8-D339862E6CA9}" name="Bins/Jabas" dataDxfId="97"/>
    <tableColumn id="6" xr3:uid="{234369FF-12E3-449E-9492-6F95D662ED43}" name="Toneladas totales " dataDxfId="96"/>
    <tableColumn id="7" xr3:uid="{FC596F14-0D40-4986-8EF6-2F4562592611}" name="Proveedor " dataDxfId="95"/>
    <tableColumn id="8" xr3:uid="{EE3DD88B-6DD9-437B-B38B-84C8650C27C8}" name="Variedad" dataDxfId="94"/>
    <tableColumn id="9" xr3:uid="{66995D3E-C17A-40E0-8B00-BA55CF8A0926}" name="Lote de campo " dataDxfId="93"/>
    <tableColumn id="10" xr3:uid="{96C4644C-97F4-454C-884D-96895471E065}" name="Temperatura de bins/jabas (°C)" dataDxfId="92"/>
    <tableColumn id="11" xr3:uid="{38563286-B712-452D-B91C-BC3155E8DB72}" name="Temperatura de camión (°C)" dataDxfId="91"/>
    <tableColumn id="12" xr3:uid="{D4786B6C-B3A4-4335-980A-419453889F96}" name="Peso de racimo (g) " dataDxfId="90"/>
    <tableColumn id="13" xr3:uid="{EDEC936C-7F79-4ADA-BFBD-E93C0E3C394A}" name="Longitud promedio de 10 bayas (cm)" dataDxfId="89"/>
    <tableColumn id="14" xr3:uid="{1DA604E0-DF3F-4D52-9B33-DF61EE14FCAD}" name="Longitud promedio por baya (cm)" dataDxfId="88">
      <calculatedColumnFormula>M6/10</calculatedColumnFormula>
    </tableColumn>
    <tableColumn id="15" xr3:uid="{403F9679-8A68-4505-8200-8CAE724CED3F}" name="Peso de 200 bayas (g)" dataDxfId="87"/>
    <tableColumn id="16" xr3:uid="{7DE83E60-7A3B-4886-9304-8E293639DF03}" name="Peso promedio por baya (g)" dataDxfId="86">
      <calculatedColumnFormula>O6/200</calculatedColumnFormula>
    </tableColumn>
    <tableColumn id="17" xr3:uid="{BA656B6A-3DEF-4CA7-A896-F58B9BC4EBD3}" name="Bayas con picadura " dataDxfId="85"/>
    <tableColumn id="18" xr3:uid="{6586CC43-E489-40F1-B4CB-1F38DA007482}" name="Bayas con enfermedades" dataDxfId="84"/>
    <tableColumn id="19" xr3:uid="{8EFEE986-620A-44D7-9B67-9BBAE07301A7}" name="Bayas inmaduras" dataDxfId="83"/>
    <tableColumn id="20" xr3:uid="{6AFF4DE8-2B00-4602-BB58-23F9DBE66FA9}" name="Bayas Maduras" dataDxfId="82"/>
    <tableColumn id="21" xr3:uid="{AFA51197-ECDD-42B8-BF91-9BCFA45F5790}" name="Bayas sobremaduras" dataDxfId="81"/>
    <tableColumn id="22" xr3:uid="{675F47BA-06D8-42D2-8A49-0341D992A7A7}" name="Bayas pasificadas" dataDxfId="80"/>
    <tableColumn id="23" xr3:uid="{866FC3AC-062D-4C25-8709-BBDD476C09C7}" name="Bayas aceptables" dataDxfId="79">
      <calculatedColumnFormula>SUM(T6,U6)</calculatedColumnFormula>
    </tableColumn>
    <tableColumn id="24" xr3:uid="{F1AC10BA-6CC0-42E3-974F-2969C0B78B15}" name="Bayas No aceptables" dataDxfId="78">
      <calculatedColumnFormula>SUM(Q6,R6,S6,V6)</calculatedColumnFormula>
    </tableColumn>
    <tableColumn id="25" xr3:uid="{42C65A85-8C05-4B06-9E06-5B604F1B07EE}" name="Semillas verdes" dataDxfId="77"/>
    <tableColumn id="26" xr3:uid="{16453F84-B5EE-4B2C-AC54-054F028587BC}" name="Semillas Veteadas" dataDxfId="76"/>
    <tableColumn id="27" xr3:uid="{774CBB97-24BF-4D08-A409-2D1A8B93FEFA}" name="Semillas Cafés " dataDxfId="75"/>
    <tableColumn id="28" xr3:uid="{8508DA0F-0338-451B-85AF-265C98FA7AD2}" name="% Semillas verdes" dataDxfId="74"/>
    <tableColumn id="29" xr3:uid="{39CA0A68-91F7-4A16-9B16-5DC92A860A34}" name="%Bayas Aceptable " dataDxfId="73">
      <calculatedColumnFormula>(W6/(W6+X6))*100</calculatedColumnFormula>
    </tableColumn>
    <tableColumn id="30" xr3:uid="{E498B93E-3DC6-4BCB-AE78-307A334E7B57}" name="%Bayas con enfermedad/picadura" dataDxfId="72">
      <calculatedColumnFormula>((Q6+R6)/(W6+X6))*100</calculatedColumnFormula>
    </tableColumn>
    <tableColumn id="41" xr3:uid="{57381FC6-54AA-4D11-B040-399FB30CDE55}" name="Estado sanitario (visual)" dataDxfId="71"/>
    <tableColumn id="42" xr3:uid="{EE8D987F-D6EA-4E27-A1C9-CE932FF013BA}" name="Comentarios madurez fenólica" dataDxfId="70"/>
    <tableColumn id="31" xr3:uid="{E5584762-AE93-4492-B964-5CEE78CE6DC2}" name="Fecha análisis laboratorio " dataDxfId="69"/>
    <tableColumn id="32" xr3:uid="{686D32C4-3677-4BD6-A5C5-27434E709AD6}" name="°Brix" dataDxfId="68"/>
    <tableColumn id="33" xr3:uid="{E09170C8-D449-4D46-96CC-86EF9BC8DADC}" name="pH" dataDxfId="67"/>
    <tableColumn id="34" xr3:uid="{2E846624-93E6-4178-8F42-3306FE6400F6}" name="AT (g/L)" dataDxfId="66"/>
    <tableColumn id="35" xr3:uid="{C03A0890-9629-4383-8290-7D03C28758DA}" name="AG (g/L)" dataDxfId="65"/>
    <tableColumn id="36" xr3:uid="{CA2233E7-B9B6-46D2-BE00-5B96672C208D}" name="AM (g/L)" dataDxfId="64"/>
    <tableColumn id="37" xr3:uid="{980C74A9-AE2F-4B22-8991-B0243323B6E4}" name="AV (g/L)" dataDxfId="63"/>
    <tableColumn id="38" xr3:uid="{50248B70-5802-41D2-A21A-FA1D4FB4DF8D}" name="AV Tanque " dataDxfId="62"/>
    <tableColumn id="39" xr3:uid="{7B3A5263-5968-4A91-905D-C9B9C20F1D26}" name="Antocianinas ppm (último análisis de seguimiento de maduración) " dataDxfId="61"/>
    <tableColumn id="40" xr3:uid="{A6316D61-2784-4F41-8CC9-A2D2649D74EF}" name="Antocianinas ppm (análisis de prerecepción) " dataDxfId="60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F61ADD-9E75-47CC-B8A4-883E27D0CD59}" name="Tabla1" displayName="Tabla1" ref="A3:T133" totalsRowShown="0" headerRowDxfId="59" dataDxfId="58" tableBorderDxfId="57">
  <autoFilter ref="A3:T133" xr:uid="{13F61ADD-9E75-47CC-B8A4-883E27D0CD59}"/>
  <tableColumns count="20">
    <tableColumn id="1" xr3:uid="{83FBB2E4-1E4B-44D8-8E25-3CBE4990BFEE}" name="Reporte " dataDxfId="56"/>
    <tableColumn id="2" xr3:uid="{1ACDAA0E-4C4C-4320-AD38-03873A211282}" name="Fecha" dataDxfId="55"/>
    <tableColumn id="3" xr3:uid="{1EE68DE7-DA05-48EC-A7A2-F8E856755B15}" name="Lote de viñedo 1" dataDxfId="54"/>
    <tableColumn id="4" xr3:uid="{4713048F-8238-4A62-A552-6588B4B30A03}" name="Lote de viñedo 2" dataDxfId="53"/>
    <tableColumn id="5" xr3:uid="{890B9D8F-01A8-491C-9719-0FD600BA0503}" name="Lote de viñedo 3" dataDxfId="52"/>
    <tableColumn id="6" xr3:uid="{D1C84023-CF9F-4DDB-9383-0A119BEBEE8F}" name="Lote de viñedo 4" dataDxfId="51"/>
    <tableColumn id="7" xr3:uid="{24ADB4D6-047F-49BE-A9B2-86C0DE7F0E3D}" name="Código _x000a_(lote de bodega)" dataDxfId="50"/>
    <tableColumn id="8" xr3:uid="{B129CEA4-EE43-4281-B1AC-7D7332D30008}" name="Tanque" dataDxfId="49"/>
    <tableColumn id="9" xr3:uid="{31B0E715-1A11-404F-8C97-08B3194158CF}" name="Proveedor" dataDxfId="48"/>
    <tableColumn id="10" xr3:uid="{EA5CFFC7-E840-408E-B8EF-4B9696B66D99}" name="Variedad" dataDxfId="47"/>
    <tableColumn id="11" xr3:uid="{568CDDE0-EDDD-466A-B467-4EC5EFC40C5B}" name="°Brix" dataDxfId="46"/>
    <tableColumn id="12" xr3:uid="{D8B37B48-B6A8-4002-AB66-F0E9D0ECFD90}" name="pH" dataDxfId="45"/>
    <tableColumn id="13" xr3:uid="{3BA86740-22A3-4EB3-97B8-334040380151}" name="A.T." dataDxfId="44"/>
    <tableColumn id="14" xr3:uid="{0004C685-D1C9-4B61-A131-5B84DB791607}" name="A.G." dataDxfId="43"/>
    <tableColumn id="15" xr3:uid="{A8D0EBFA-D72E-4D6C-B20D-333F8E55BF57}" name="A.M." dataDxfId="42"/>
    <tableColumn id="16" xr3:uid="{83B6437F-B405-400C-B6FF-89AEC049059C}" name="A.V." dataDxfId="41"/>
    <tableColumn id="17" xr3:uid="{103A3792-34D0-429A-9807-939728D3D52B}" name="Polifenoles WX (Final de Fermentación Alcohólica) " dataDxfId="40"/>
    <tableColumn id="18" xr3:uid="{2D740074-2A8A-4EBC-89E4-5916E0C77219}" name="Antocianinas WX (Final de Fermentación Alcohólica) " dataDxfId="39"/>
    <tableColumn id="20" xr3:uid="{DCBF7920-4AEE-446E-88B3-B21EC74769ED}" name="Acidificado en recepción (SI/NO)" dataDxfId="38"/>
    <tableColumn id="21" xr3:uid="{65865589-F7DD-43DF-A36F-CC0572178F46}" name="P010 (KG)" dataDxfId="37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480DDCC-233A-4D24-B8E3-F6B663678F53}" name="Tabla34" displayName="Tabla34" ref="A3:AD50" totalsRowShown="0" headerRowDxfId="36" headerRowBorderDxfId="35" tableBorderDxfId="34">
  <autoFilter ref="A3:AD50" xr:uid="{ECD2BA37-4285-4291-A3DA-F2B65E41ED9C}"/>
  <tableColumns count="30">
    <tableColumn id="1" xr3:uid="{DA1C882C-858F-48C2-916F-7DF94CFF02DC}" name="FECHA MOLIENDA" dataDxfId="33"/>
    <tableColumn id="2" xr3:uid="{EE31F99B-95FA-4F9E-9F9D-E5F746FBBEFF}" name="BINS" dataDxfId="32"/>
    <tableColumn id="3" xr3:uid="{4E33D7D8-85E2-4712-9196-EA7970AFB520}" name="LOTE CAMPO" dataDxfId="31"/>
    <tableColumn id="4" xr3:uid="{4A79962B-1E6A-42CB-A427-A131CA05E49A}" name="KG" dataDxfId="30"/>
    <tableColumn id="5" xr3:uid="{EEFA8424-2EBC-4520-A800-FD719EC1DBE4}" name="LOTE" dataDxfId="29"/>
    <tableColumn id="6" xr3:uid="{9D15CBC6-6DA2-4183-BE6F-A76D0FA666EF}" name="TK RECEPCIÓN" dataDxfId="28"/>
    <tableColumn id="7" xr3:uid="{0519A77C-8535-49A1-9D6B-20B4CEA29AEB}" name="FR VOL (L)" dataDxfId="27"/>
    <tableColumn id="8" xr3:uid="{4B845F38-72A3-4935-BA3C-5477278E92A1}" name="REND FR TEO" dataDxfId="26"/>
    <tableColumn id="9" xr3:uid="{643D0655-4C12-4BF3-A3FF-F4F707EF4E6D}" name="TK FR FA" dataDxfId="25"/>
    <tableColumn id="10" xr3:uid="{42CB155E-C593-47BC-8024-804B25B09C4C}" name="VOL DESVINE" dataDxfId="24"/>
    <tableColumn id="11" xr3:uid="{AD502E0B-0C65-4BAB-9E7A-DF1DAEBCA81A}" name="REN FR" dataDxfId="23"/>
    <tableColumn id="12" xr3:uid="{37514DC7-AFAC-468D-BC6F-B95B7707144F}" name="TK PRENSAS" dataDxfId="22"/>
    <tableColumn id="13" xr3:uid="{1316C0A3-EC06-4854-96D9-246781CD1E4B}" name="VOL (L)" dataDxfId="21"/>
    <tableColumn id="14" xr3:uid="{411F0277-0A3F-4F2B-8F17-66D230D29986}" name="REND PR" dataDxfId="20"/>
    <tableColumn id="15" xr3:uid="{3C34718B-A30E-4005-A719-64493DB92014}" name="VOL TOTAL" dataDxfId="19"/>
    <tableColumn id="16" xr3:uid="{5CD077E1-235E-45E2-A7E9-E1B3BA0F4228}" name="TOTAL REND" dataDxfId="18"/>
    <tableColumn id="17" xr3:uid="{0E6BFE0A-9160-491B-9B61-DBDF971E5620}" name="OBS" dataDxfId="17"/>
    <tableColumn id="23" xr3:uid="{9FB890EC-C52E-455C-9B65-2CB9B3905C33}" name="pH Rec" dataDxfId="16"/>
    <tableColumn id="24" xr3:uid="{F72B3FFD-FB54-4BCE-8AB9-55488FAEFC2B}" name="pH Correc" dataDxfId="15"/>
    <tableColumn id="25" xr3:uid="{37A3C21E-9007-4862-B94B-4FA99D6887A2}" name="pH Correc2" dataDxfId="14"/>
    <tableColumn id="26" xr3:uid="{0294F46B-E84D-4A28-8F72-7C06BCC61C42}" name="DOSIS AT (g/L)" dataDxfId="13">
      <calculatedColumnFormula>(V4*1000)/G4</calculatedColumnFormula>
    </tableColumn>
    <tableColumn id="27" xr3:uid="{0AA9C224-9D7B-4A44-BC41-B00006A56177}" name="CANT KG A.TARTARICO" dataDxfId="12"/>
    <tableColumn id="42" xr3:uid="{320F664A-2633-4A4C-810A-52DF9EC54658}" name="$" dataDxfId="11">
      <calculatedColumnFormula>Tabla34[[#This Row],[CANT KG A.TARTARICO]]*$W$2</calculatedColumnFormula>
    </tableColumn>
    <tableColumn id="28" xr3:uid="{C57A954F-949E-4764-8DCB-B00D5EC03151}" name="AT Rec" dataDxfId="10"/>
    <tableColumn id="29" xr3:uid="{1F408A95-EAC5-4742-8901-BB2C7346FFA6}" name="AT Correc" dataDxfId="9"/>
    <tableColumn id="30" xr3:uid="{12C6731C-E32F-45F0-93AA-AB503BA6E584}" name="AT Correc3" dataDxfId="8"/>
    <tableColumn id="31" xr3:uid="{693EDBDF-4B0F-415A-8EB0-115AB6E3093F}" name="A.TARTARICO 70" dataDxfId="7"/>
    <tableColumn id="32" xr3:uid="{44ABE4AD-AB05-4B4A-80D7-9B2B9EF0401F}" name="A.MALICO 30" dataDxfId="6"/>
    <tableColumn id="41" xr3:uid="{8A1233AE-EAF2-46AE-A0DD-AC49DEBD1481}" name="P010 KG" dataDxfId="5"/>
    <tableColumn id="44" xr3:uid="{F99DA2C2-EAAE-43E4-9C7C-2C6B3D4FA642}" name="Bx Correc" data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W2" dT="2026-02-05T18:24:21.17" personId="{D63F805F-DA5E-4AD0-86CF-873B56784BAF}" id="{7ECADEEA-1B50-4E0E-B63F-349FE941C18C}">
    <text xml:space="preserve">Prospero $235 x kg
</text>
  </threadedComment>
  <threadedComment ref="I3" dT="2026-02-17T16:20:32.65" personId="{D63F805F-DA5E-4AD0-86CF-873B56784BAF}" id="{A5C5E1D3-6552-4C60-890C-5CBD53AF73AC}">
    <text xml:space="preserve">Tanque DESVINE </text>
  </threadedComment>
  <threadedComment ref="N6" dT="2025-09-24T18:27:37.01" personId="{D63F805F-DA5E-4AD0-86CF-873B56784BAF}" id="{198F0F8C-3A8C-49F2-A61A-F154C61CA142}">
    <text>Orujo usado para BCAS viejas</text>
  </threadedComment>
  <threadedComment ref="G19" dT="2025-09-19T00:13:54.08" personId="{D63F805F-DA5E-4AD0-86CF-873B56784BAF}" id="{D7C3E928-6B61-4270-B98A-AF4549C237D7}">
    <text xml:space="preserve">4828L Totales
</text>
  </threadedComment>
  <threadedComment ref="S19" dT="2025-10-08T19:22:33.25" personId="{D63F805F-DA5E-4AD0-86CF-873B56784BAF}" id="{6C398C6F-ABE6-4C73-A5CA-F30D5B677903}">
    <text>Dato de corroboración después de mezclado extra</text>
  </threadedComment>
  <threadedComment ref="U19" dT="2025-10-08T19:22:48.74" personId="{D63F805F-DA5E-4AD0-86CF-873B56784BAF}" id="{AFC56802-1347-439E-833A-281955A0A335}">
    <text>Adición en recepción</text>
  </threadedComment>
  <threadedComment ref="U21" dT="2025-10-08T20:05:50.36" personId="{D63F805F-DA5E-4AD0-86CF-873B56784BAF}" id="{7D9D94ED-0BE6-4EF6-A1C2-2E64B543CBDD}">
    <text>Adición en recepción</text>
  </threadedComment>
  <threadedComment ref="S23" dT="2025-10-08T20:07:45.89" personId="{D63F805F-DA5E-4AD0-86CF-873B56784BAF}" id="{2C43EF1B-3483-461A-A88C-4EB4260DD6E2}">
    <text>Dato de corroboración mezclado extra</text>
  </threadedComment>
  <threadedComment ref="U27" dT="2025-09-25T08:13:02.40" personId="{D63F805F-DA5E-4AD0-86CF-873B56784BAF}" id="{0D220166-AA6C-4CDE-AB36-1ED6848CF633}">
    <text>Adición en molienda</text>
  </threadedComment>
  <threadedComment ref="S29" dT="2025-10-08T21:54:50.76" personId="{D63F805F-DA5E-4AD0-86CF-873B56784BAF}" id="{6B14A6B6-FE87-4062-A8B3-58482867770D}">
    <text>Corroboración despues de mezclado</text>
  </threadedComment>
  <threadedComment ref="U29" dT="2025-10-08T21:55:01.99" personId="{D63F805F-DA5E-4AD0-86CF-873B56784BAF}" id="{C4E30AF6-F7AB-4560-A376-4390B355DE2F}">
    <text>Adición en molienda</text>
  </threadedComment>
  <threadedComment ref="U31" dT="2025-10-08T22:00:58.64" personId="{D63F805F-DA5E-4AD0-86CF-873B56784BAF}" id="{372C0E0F-BC0D-4A33-8979-1A272A0F4542}">
    <text>Adición en molienda</text>
  </threadedComment>
  <threadedComment ref="U32" dT="2025-10-08T22:00:50.61" personId="{D63F805F-DA5E-4AD0-86CF-873B56784BAF}" id="{CF9E231E-A66B-490A-A0A6-99AB3D445107}">
    <text>Adición en molienda</text>
  </threadedComment>
  <threadedComment ref="U33" dT="2025-10-08T22:00:23.68" personId="{D63F805F-DA5E-4AD0-86CF-873B56784BAF}" id="{AF358D3F-D98A-48EE-A25E-46A2BEFD1EF7}">
    <text>Adición en molienda</text>
  </threadedComment>
  <threadedComment ref="U34" dT="2025-10-08T22:00:32.33" personId="{D63F805F-DA5E-4AD0-86CF-873B56784BAF}" id="{D7E57C8B-CBF0-4E83-B4AA-B8D91E358306}">
    <text>Adición en molienda</text>
  </threadedComment>
  <threadedComment ref="O36" dT="2025-10-11T19:07:19.88" personId="{D63F805F-DA5E-4AD0-86CF-873B56784BAF}" id="{82353DF4-DB7D-485E-BE3D-D3D3BE541549}">
    <text>Total 16428</text>
  </threadedComment>
  <threadedComment ref="F38" dT="2025-10-07T23:08:24.03" personId="{D63F805F-DA5E-4AD0-86CF-873B56784BAF}" id="{CC439170-9B18-40A2-A1B7-5FEB080633CE}">
    <text>Se sangran 600 L</text>
  </threadedComment>
  <threadedComment ref="V38" dT="2025-10-07T23:34:42.77" personId="{D63F805F-DA5E-4AD0-86CF-873B56784BAF}" id="{958063FD-D57A-48F5-8098-CB15BADCA87F}">
    <text>Adición en recepción</text>
  </threadedComment>
  <threadedComment ref="S39" dT="2025-10-08T22:07:28.53" personId="{D63F805F-DA5E-4AD0-86CF-873B56784BAF}" id="{DD7D253B-152F-4B13-A681-57A3E1F77403}">
    <text>Corroboración después de mezclado extra</text>
  </threadedComment>
  <threadedComment ref="U39" dT="2025-10-08T22:07:04.12" personId="{D63F805F-DA5E-4AD0-86CF-873B56784BAF}" id="{22FE3980-D406-430F-9AEF-59CE324DE5B2}">
    <text>Adición en recepción</text>
  </threadedComment>
  <threadedComment ref="V39" dT="2025-10-07T23:34:54.39" personId="{D63F805F-DA5E-4AD0-86CF-873B56784BAF}" id="{80C7281D-9582-494F-9CC8-88DF9AD9D324}">
    <text>17 kg de Adición en recepción</text>
  </threadedComment>
  <threadedComment ref="U40" dT="2026-02-06T23:44:01.77" personId="{D63F805F-DA5E-4AD0-86CF-873B56784BAF}" id="{42EA78DB-3D65-4475-AEF8-40B875445B2A}">
    <text xml:space="preserve">Adición en recepción
</text>
  </threadedComment>
  <threadedComment ref="V40" dT="2026-02-06T23:45:00.08" personId="{D63F805F-DA5E-4AD0-86CF-873B56784BAF}" id="{153A44EC-C59F-4C40-98FA-D5C6038F7542}">
    <text>Recepción  25 kg
Ajuste 12 kg</text>
  </threadedComment>
  <threadedComment ref="V41" dT="2025-10-11T19:18:37.21" personId="{D63F805F-DA5E-4AD0-86CF-873B56784BAF}" id="{887999EC-DF84-49A4-B6F3-BAB88A753297}">
    <text>Recepción 15 kg 10/oct
Ajuste 24.7 kg 11/oct</text>
  </threadedComment>
  <threadedComment ref="V50" dT="2026-02-05T19:24:36.32" personId="{D63F805F-DA5E-4AD0-86CF-873B56784BAF}" id="{83E79F7A-2720-411B-96BF-4309D4D8D843}">
    <text>11 Kg en Recepción
11 kg después de Análisis de recepción</text>
  </threadedComment>
  <threadedComment ref="V51" dT="2026-02-06T18:47:09.85" personId="{D63F805F-DA5E-4AD0-86CF-873B56784BAF}" id="{1E590707-884D-41CC-96E1-99148B13EF61}">
    <text>Adición de recepción</text>
  </threadedComment>
  <threadedComment ref="H55" dT="2026-02-17T16:23:19.70" personId="{D63F805F-DA5E-4AD0-86CF-873B56784BAF}" id="{24C0167C-6F6F-47B2-9BBA-DEEA8750D8F0}">
    <text>MIX DE VARIOS LOTES QUE NO CABIAN EN SUS TANQUES ORIGINALES Y ESTABAN MUY LLENOS</text>
  </threadedComment>
  <threadedComment ref="I55" dT="2025-12-09T02:41:29.12" personId="{D63F805F-DA5E-4AD0-86CF-873B56784BAF}" id="{30B7235F-3A71-4525-84B2-B9629727B12F}">
    <text>25TEKMP-2</text>
  </threadedComment>
  <threadedComment ref="L57" dT="2025-12-09T03:22:13.79" personId="{D63F805F-DA5E-4AD0-86CF-873B56784BAF}" id="{ACCA8DEA-51A8-4148-A8B1-219770765664}">
    <text xml:space="preserve">25CSOLE-EXP-P </text>
  </threadedComment>
  <threadedComment ref="F65" dT="2025-10-18T16:59:32.19" personId="{D63F805F-DA5E-4AD0-86CF-873B56784BAF}" id="{B30F1A94-13EF-4E99-8DFE-177380724907}">
    <text>Cambia a C6 por temas de compuerta</text>
  </threadedComment>
  <threadedComment ref="L71" dT="2025-12-09T03:11:29.86" personId="{D63F805F-DA5E-4AD0-86CF-873B56784BAF}" id="{F0457974-F938-41B9-874E-FAA624C5811C}">
    <text>C5 25TEKMP-4
H6 25DUKMP-2</text>
  </threadedComment>
  <threadedComment ref="C79" dT="2025-10-18T21:16:13.04" personId="{D63F805F-DA5E-4AD0-86CF-873B56784BAF}" id="{D38B023A-FD9E-4B5F-A408-686835FB9F8C}">
    <text xml:space="preserve">Ingreso 16/10
</text>
  </threadedComment>
  <threadedComment ref="D83" dT="2025-10-24T17:32:53.06" personId="{D63F805F-DA5E-4AD0-86CF-873B56784BAF}" id="{D5BD0A81-0DAE-4449-9F84-296CD9892DAF}">
    <text>Relleno de tanque</text>
  </threadedComment>
  <threadedComment ref="V86" dT="2026-02-06T23:32:32.89" personId="{D63F805F-DA5E-4AD0-86CF-873B56784BAF}" id="{5BF93DE5-3424-4B43-BB13-89A428638A22}">
    <text>Adición en recepción</text>
  </threadedComment>
  <threadedComment ref="V87" dT="2026-02-06T23:36:34.10" personId="{D63F805F-DA5E-4AD0-86CF-873B56784BAF}" id="{EBCCB964-5117-480A-8DB1-D11599944154}">
    <text xml:space="preserve">En recepción 15.68 kg
Ajuste 11.75
Ajuste 3.91
</text>
  </threadedComment>
  <threadedComment ref="T88" dT="2026-02-06T23:23:26.91" personId="{D63F805F-DA5E-4AD0-86CF-873B56784BAF}" id="{FAAA656F-6C68-43B4-8CC1-B3090EEA8BD7}">
    <text>Verificación de segunda medición después de mezclado extra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5" dT="2025-08-27T05:53:04.99" personId="{D63F805F-DA5E-4AD0-86CF-873B56784BAF}" id="{9B49EE4F-37F3-4F73-B3A8-614624BFCBB8}">
    <text>Cubicación 1305L</text>
  </threadedComment>
  <threadedComment ref="R11" dT="2025-08-27T05:52:31.14" personId="{D63F805F-DA5E-4AD0-86CF-873B56784BAF}" id="{170076BD-4B13-465D-A2DC-DBB3FBD051B8}">
    <text xml:space="preserve">Cubicación 1520 L
</text>
  </threadedComment>
  <threadedComment ref="AA11" dT="2025-10-08T18:27:29.97" personId="{FD2C8D27-6085-4209-80B7-F924ACEE2674}" id="{654AA8F1-E15E-4CED-AC67-7F142153B8A7}">
    <text>19/08/25</text>
  </threadedComment>
  <threadedComment ref="AA12" dT="2025-10-08T18:52:42.65" personId="{FD2C8D27-6085-4209-80B7-F924ACEE2674}" id="{86DBB16E-4A92-41F5-AB91-9A955FCF04B2}">
    <text>21/08/25</text>
  </threadedComment>
  <threadedComment ref="AA13" dT="2025-10-08T18:43:58.22" personId="{FD2C8D27-6085-4209-80B7-F924ACEE2674}" id="{CB259435-2E6D-4C9C-B8B6-2F3B0A2A953E}">
    <text>19/08/25</text>
  </threadedComment>
  <threadedComment ref="R14" dT="2025-08-27T05:51:23.56" personId="{D63F805F-DA5E-4AD0-86CF-873B56784BAF}" id="{255AA0A6-FCB6-422E-98B6-D94851349A2A}">
    <text>Cubicación 1514</text>
  </threadedComment>
  <threadedComment ref="AA14" dT="2025-10-08T18:49:02.45" personId="{FD2C8D27-6085-4209-80B7-F924ACEE2674}" id="{00DF96E2-BE12-49C9-A95C-F2A3873FDF31}">
    <text>19/08/25</text>
  </threadedComment>
  <threadedComment ref="AA16" dT="2025-10-08T19:05:22.67" personId="{FD2C8D27-6085-4209-80B7-F924ACEE2674}" id="{00931864-1A19-4C00-9835-873166030A77}">
    <text>22/08/25 OD 3176</text>
  </threadedComment>
  <threadedComment ref="AA19" dT="2025-10-08T18:45:44.15" personId="{FD2C8D27-6085-4209-80B7-F924ACEE2674}" id="{B5813FC6-EBA4-4ED9-934F-A5775C8596B1}">
    <text>19/08/25</text>
  </threadedComment>
  <threadedComment ref="AA22" dT="2025-10-08T18:59:58.83" personId="{FD2C8D27-6085-4209-80B7-F924ACEE2674}" id="{2D5FD9C4-327D-4B84-AE9A-84FA3D439AB1}">
    <text>21/08/25</text>
  </threadedComment>
  <threadedComment ref="AD22" dT="2025-10-08T19:20:17.90" personId="{FD2C8D27-6085-4209-80B7-F924ACEE2674}" id="{FC70610C-482C-4E6E-A237-487BAFFCE04E}">
    <text>23/08/25 OD 3177</text>
  </threadedComment>
  <threadedComment ref="R24" dT="2025-08-27T18:31:11.36" personId="{D63F805F-DA5E-4AD0-86CF-873B56784BAF}" id="{28562479-67A7-4B46-8185-4F3631755FCB}">
    <text>Cubicación 1469 L</text>
  </threadedComment>
  <threadedComment ref="AA24" dT="2025-10-08T20:07:03.50" personId="{FD2C8D27-6085-4209-80B7-F924ACEE2674}" id="{2867118B-F549-437C-A73C-5876DD4AF417}">
    <text xml:space="preserve">28/08/25
</text>
  </threadedComment>
  <threadedComment ref="AD24" dT="2025-10-09T15:25:18.00" personId="{FD2C8D27-6085-4209-80B7-F924ACEE2674}" id="{68F3DEA5-7ED6-4F2E-9AEC-C3E189DAD633}">
    <text>20/09/25</text>
  </threadedComment>
  <threadedComment ref="P25" dT="2025-08-28T21:56:43.88" personId="{D63F805F-DA5E-4AD0-86CF-873B56784BAF}" id="{380C61EE-8533-4F09-A321-ABE4E4C62357}">
    <text>Volumen neto de A5 8527L</text>
  </threadedComment>
  <threadedComment ref="A26" dT="2025-09-05T19:39:00.70" personId="{D63F805F-DA5E-4AD0-86CF-873B56784BAF}" id="{D5DB4FBB-EBE9-43AF-BB51-487583E0CD5C}">
    <text xml:space="preserve">Dos días de proceso 28/08
</text>
  </threadedComment>
  <threadedComment ref="AA26" dT="2025-10-08T21:55:47.15" personId="{FD2C8D27-6085-4209-80B7-F924ACEE2674}" id="{D0B8ECAB-49A0-4EA2-A357-720C8BE28558}">
    <text xml:space="preserve">29/08725
</text>
  </threadedComment>
  <threadedComment ref="AD26" dT="2025-10-08T22:15:59.24" personId="{FD2C8D27-6085-4209-80B7-F924ACEE2674}" id="{F5B98E6D-B781-45B5-87A5-862E58FB4249}">
    <text xml:space="preserve">30/08/25 </text>
  </threadedComment>
  <threadedComment ref="AA27" dT="2025-10-08T22:18:05.32" personId="{FD2C8D27-6085-4209-80B7-F924ACEE2674}" id="{13383DC1-1D79-4041-B77C-551FDBAFC3D8}">
    <text xml:space="preserve">30/08/25
Segunda adición igual 30/08/25 
91 gr </text>
  </threadedComment>
  <threadedComment ref="AB27" dT="2025-10-08T22:27:16.32" personId="{FD2C8D27-6085-4209-80B7-F924ACEE2674}" id="{0CE5C911-C601-4900-8AA8-7D59527BB094}">
    <text xml:space="preserve">Segunda adición 30/08/25 
39 gr </text>
  </threadedComment>
  <threadedComment ref="AA28" dT="2025-10-08T22:23:08.31" personId="{FD2C8D27-6085-4209-80B7-F924ACEE2674}" id="{C4728D05-C6FF-46D8-8B8B-5543C310A432}">
    <text>30/08/25</text>
  </threadedComment>
  <threadedComment ref="AD28" dT="2025-10-08T22:40:22.08" personId="{FD2C8D27-6085-4209-80B7-F924ACEE2674}" id="{BE079203-6D68-4CEF-9DC9-48133748B09A}">
    <text>31/08/25</text>
  </threadedComment>
  <threadedComment ref="AA29" dT="2025-10-08T22:09:19.53" personId="{FD2C8D27-6085-4209-80B7-F924ACEE2674}" id="{1909854B-0786-444D-8D11-6BBE4486B315}">
    <text>30/08/25</text>
  </threadedComment>
  <threadedComment ref="AA30" dT="2025-10-08T23:02:23.81" personId="{FD2C8D27-6085-4209-80B7-F924ACEE2674}" id="{FD488FA9-9916-4758-9CA2-55CC8567A6A1}">
    <text>02/09/25</text>
  </threadedComment>
  <threadedComment ref="AA33" dT="2025-10-09T00:12:39.44" personId="{FD2C8D27-6085-4209-80B7-F924ACEE2674}" id="{6D0E54C0-E2D4-48DF-AD00-7994F5C8C214}">
    <text>11/09/25</text>
  </threadedComment>
  <threadedComment ref="AA35" dT="2025-10-09T00:18:26.35" personId="{FD2C8D27-6085-4209-80B7-F924ACEE2674}" id="{8762E1AA-34D1-4A0A-B510-9AA984C8C3CD}">
    <text>12/09/25</text>
  </threadedComment>
  <threadedComment ref="AD35" dT="2025-10-09T00:28:44.57" personId="{FD2C8D27-6085-4209-80B7-F924ACEE2674}" id="{7E330763-7A6A-4FA9-8DB8-2EA917EDBD8E}">
    <text>12/09/25</text>
  </threadedComment>
  <threadedComment ref="AA36" dT="2025-10-09T00:17:48.22" personId="{FD2C8D27-6085-4209-80B7-F924ACEE2674}" id="{10DA0772-0880-48E2-82D7-4B60F8480A4C}">
    <text>12/09/25</text>
  </threadedComment>
  <threadedComment ref="AD36" dT="2025-10-09T00:27:15.23" personId="{FD2C8D27-6085-4209-80B7-F924ACEE2674}" id="{117B208B-045C-4170-82AF-492A04656E52}">
    <text>12/09/25</text>
  </threadedComment>
  <threadedComment ref="AA37" dT="2025-10-09T00:42:16.32" personId="{FD2C8D27-6085-4209-80B7-F924ACEE2674}" id="{FCD7D0DC-70A3-4B38-897F-60456ECB5E8D}">
    <text>18/09/25</text>
  </threadedComment>
  <threadedComment ref="AD37" dT="2025-10-09T00:44:48.51" personId="{FD2C8D27-6085-4209-80B7-F924ACEE2674}" id="{4FFDD0B1-A5EB-4E8A-8D43-F144C3B87226}">
    <text>18/09/25
Segunda adición 20/09/25 
OD 3400 2.5 kg AT. Y 1 kg AM.</text>
  </threadedComment>
  <threadedComment ref="AA39" dT="2025-10-09T00:47:21.28" personId="{FD2C8D27-6085-4209-80B7-F924ACEE2674}" id="{8C716F5C-DA2F-4072-8A8B-5A729593C82C}">
    <text>19/09/25</text>
  </threadedComment>
  <threadedComment ref="U40" dT="2026-02-17T17:58:33.32" personId="{D63F805F-DA5E-4AD0-86CF-873B56784BAF}" id="{E9E113C6-B841-48B4-A2F5-1D1C9EF8315C}">
    <text xml:space="preserve">Se junta con 25GREVA-3
</text>
  </threadedComment>
  <threadedComment ref="AA40" dT="2025-10-09T00:48:27.81" personId="{FD2C8D27-6085-4209-80B7-F924ACEE2674}" id="{736F3E9A-B109-4360-865A-5E5B95F24D7E}">
    <text>19/09/25</text>
  </threadedComment>
  <threadedComment ref="AA43" dT="2025-10-09T15:10:42.84" personId="{FD2C8D27-6085-4209-80B7-F924ACEE2674}" id="{0EEFAF58-BE6B-4B7D-9B9E-C3EDCE7BBC17}">
    <text>19/09/25
19/09/25 Análisis después de ajuste pH 3.49 AT. 7.80</text>
  </threadedComment>
  <threadedComment ref="AD43" dT="2025-10-09T15:35:29.96" personId="{FD2C8D27-6085-4209-80B7-F924ACEE2674}" id="{DEB0B800-7528-4DEC-BF85-D0202358E5A7}">
    <text>21/09/25</text>
  </threadedComment>
  <threadedComment ref="AA44" dT="2025-10-09T15:12:09.85" personId="{FD2C8D27-6085-4209-80B7-F924ACEE2674}" id="{3612E46F-28CC-46D2-B5B8-F2DA6816723D}">
    <text xml:space="preserve">20/09/25
Adición de acido en molienda
22/09/25 análisis pH 3.21 AT. 10.20  </text>
  </threadedComment>
  <threadedComment ref="C45" dT="2025-09-22T19:02:05.88" personId="{D63F805F-DA5E-4AD0-86CF-873B56784BAF}" id="{CE56B133-6927-40ED-BC9A-E4B403B05F41}">
    <text xml:space="preserve">Cosecha 
17/09/2025
</text>
  </threadedComment>
  <threadedComment ref="AA45" dT="2025-10-09T15:08:47.96" personId="{FD2C8D27-6085-4209-80B7-F924ACEE2674}" id="{280B014F-3C10-4C7E-B979-5A37071764FA}">
    <text>19/09/25
19/09/25 ANALISIS DESPUES DE AJUSTE
pH 3.69  AT. 7.20</text>
  </threadedComment>
  <threadedComment ref="C46" dT="2025-09-22T19:02:13.96" personId="{D63F805F-DA5E-4AD0-86CF-873B56784BAF}" id="{947B6420-7398-4C18-A3FF-E5C7B9E2145C}">
    <text>18/09/2025</text>
  </threadedComment>
  <threadedComment ref="C47" dT="2025-09-22T19:57:25.32" personId="{D63F805F-DA5E-4AD0-86CF-873B56784BAF}" id="{73DD476C-94A9-4D66-B952-95C983F3D974}">
    <text>Cosecha 18/08/2025</text>
  </threadedComment>
  <threadedComment ref="AA47" dT="2025-10-09T15:44:15.21" personId="{FD2C8D27-6085-4209-80B7-F924ACEE2674}" id="{6E20BBC0-18C9-468F-8DE8-6BF309A11BF6}">
    <text>22/09/25
21/09/25 análisis pH 3.42 AT. 7.50
23/09/25 análisis después de ajuste pH 3.32 AT. 8.55</text>
  </threadedComment>
  <threadedComment ref="C48" dT="2025-09-22T19:57:05.77" personId="{D63F805F-DA5E-4AD0-86CF-873B56784BAF}" id="{30EC967A-20AB-415E-9A4E-C08883D73E1A}">
    <text>Recepción 18/09/2025</text>
  </threadedComment>
  <threadedComment ref="C49" dT="2025-09-22T19:54:55.50" personId="{D63F805F-DA5E-4AD0-86CF-873B56784BAF}" id="{72D7CD72-7525-4BE0-BC5D-54FF1EF45740}">
    <text>Cosecha 19/09</text>
  </threadedComment>
  <threadedComment ref="AA50" dT="2025-10-09T15:28:26.41" personId="{FD2C8D27-6085-4209-80B7-F924ACEE2674}" id="{922E9D06-7BA9-4BF1-AB9B-D488C8FBA93F}">
    <text>20/09/25 Adición en molienda
OD 3407 4.86 Kg
21/09/25 Adición en molienda
OD 3411 2.10 kg</text>
  </threadedComment>
  <threadedComment ref="AB50" dT="2025-10-09T15:34:08.19" personId="{FD2C8D27-6085-4209-80B7-F924ACEE2674}" id="{3FE90B29-668C-4178-B6C3-DAD6A725793D}">
    <text xml:space="preserve">20/09/25 Adición en molienda
OD 3407 2 Kg
21/09/25 Adición en molienda
OD 3411 900 gr
</text>
  </threadedComment>
  <threadedComment ref="AA52" dT="2025-10-09T15:56:55.86" personId="{FD2C8D27-6085-4209-80B7-F924ACEE2674}" id="{748C5F74-A704-4656-9546-864114181AF7}">
    <text>23/09/25</text>
  </threadedComment>
  <threadedComment ref="AA53" dT="2025-10-09T16:01:27.62" personId="{FD2C8D27-6085-4209-80B7-F924ACEE2674}" id="{9ACFE459-6610-4339-87FC-D2DCFB62062B}">
    <text>25/09/25</text>
  </threadedComment>
  <threadedComment ref="AD53" dT="2025-10-09T16:06:06.82" personId="{FD2C8D27-6085-4209-80B7-F924ACEE2674}" id="{9930E0F1-4FF3-4947-B265-6DD14ACDDF26}">
    <text>26/09/25 6.91 kg
Análisis 26/09/25 ph 3.37 AT 6.90
29/09/25 1.48 kg
Análisis 29/09/25 pH 3.26 AT. 7.20</text>
  </threadedComment>
  <threadedComment ref="AE53" dT="2025-10-09T16:41:28.24" personId="{FD2C8D27-6085-4209-80B7-F924ACEE2674}" id="{C8C47A8D-9C37-4562-816A-0E468D761878}">
    <text>2.96 kg
29/09/25 638 gr</text>
  </threadedComment>
  <threadedComment ref="AA54" dT="2025-10-09T16:21:06.76" personId="{FD2C8D27-6085-4209-80B7-F924ACEE2674}" id="{62344E5E-A47C-4E3D-A798-FFAC1EF41B47}">
    <text>27/09/25 4 kg
27/09/25 OD 3456 1.85 kg
27/09/25 OD 3457 4.7 KG</text>
  </threadedComment>
  <threadedComment ref="AB54" dT="2025-10-09T16:28:58.15" personId="{FD2C8D27-6085-4209-80B7-F924ACEE2674}" id="{14F1F192-4D2D-443A-ABF6-9DE176FAFA2A}">
    <text xml:space="preserve">27/09/25 1.7 kg
27/09/25 OD 3456 795 gr
27/09/25 OD 3457 2 KG
</text>
  </threadedComment>
  <threadedComment ref="AD54" dT="2025-10-09T16:35:06.19" personId="{FD2C8D27-6085-4209-80B7-F924ACEE2674}" id="{32A7E712-9A82-4339-AFA5-A81B4A1224B1}">
    <text>28/09/25</text>
  </threadedComment>
  <threadedComment ref="AA56" dT="2025-10-09T16:33:11.09" personId="{FD2C8D27-6085-4209-80B7-F924ACEE2674}" id="{8B98A01D-6EFC-4B09-A039-6E54D2B6305C}">
    <text xml:space="preserve">29/09/25 Molienda 14 kg
29/09/25 tanque 9.62 kg
</text>
  </threadedComment>
  <threadedComment ref="AB56" dT="2025-10-09T16:45:51.03" personId="{FD2C8D27-6085-4209-80B7-F924ACEE2674}" id="{25C3AB4F-7982-48E5-B9E7-6CE349E45806}">
    <text xml:space="preserve">29/09/25 Molienda 6 kg
29/09/25 tanque 4.12 kg
</text>
  </threadedComment>
  <threadedComment ref="AD56" dT="2025-10-10T00:46:23.65" personId="{FD2C8D27-6085-4209-80B7-F924ACEE2674}" id="{43BE071A-F835-4AF4-BD36-0B508DBF65B1}">
    <text>1/10/25</text>
  </threadedComment>
  <threadedComment ref="E57" dT="2026-02-17T18:01:46.32" personId="{D63F805F-DA5E-4AD0-86CF-873B56784BAF}" id="{0CB2D0A3-082C-4D66-9F65-00CEE022C74F}">
    <text>Prensas</text>
  </threadedComment>
  <threadedComment ref="AA57" dT="2025-10-10T00:51:25.55" personId="{FD2C8D27-6085-4209-80B7-F924ACEE2674}" id="{70AD5AA0-3B36-4427-B298-7467CD5C0D62}">
    <text xml:space="preserve">02/10/25
</text>
  </threadedComment>
  <threadedComment ref="AA58" dT="2025-10-10T00:36:01.67" personId="{FD2C8D27-6085-4209-80B7-F924ACEE2674}" id="{E9A3FEFB-4553-4812-BA79-D84926621755}">
    <text>01/10/25 Adición en prensa 3.3 kg
Segunda adición en prensa 3.67 kg</text>
  </threadedComment>
  <threadedComment ref="AB58" dT="2025-10-10T00:43:28.56" personId="{FD2C8D27-6085-4209-80B7-F924ACEE2674}" id="{C0B895B3-E638-48FC-9C2A-4357FEF7B39E}">
    <text xml:space="preserve">01/10/25 Adición en prensa 1.4 kg
Segunda adición en prensa 1.57 kg
</text>
  </threadedComment>
  <threadedComment ref="AD58" dT="2025-10-11T17:36:04.69" personId="{FD2C8D27-6085-4209-80B7-F924ACEE2674}" id="{E965215C-7152-4C9A-B7E5-F4B455BE4669}">
    <text>03/10/25</text>
  </threadedComment>
  <threadedComment ref="C59" dT="2025-10-02T19:36:51.06" personId="{D63F805F-DA5E-4AD0-86CF-873B56784BAF}" id="{B765F607-D86E-4924-8D1F-6E8E503D5EF8}">
    <text xml:space="preserve">Ingreso 30/09
</text>
  </threadedComment>
  <threadedComment ref="AA62" dT="2025-10-11T17:37:36.93" personId="{FD2C8D27-6085-4209-80B7-F924ACEE2674}" id="{466EC67B-836F-4F0A-987C-D68FB0F5A206}">
    <text>03/10/25</text>
  </threadedComment>
  <threadedComment ref="AD62" dT="2025-10-11T17:42:14.46" personId="{FD2C8D27-6085-4209-80B7-F924ACEE2674}" id="{63368B4E-E684-4C1E-AB20-2DA8CCBF9F92}">
    <text xml:space="preserve">4-10-25
</text>
  </threadedComment>
  <threadedComment ref="AD63" dT="2025-10-11T17:42:57.12" personId="{FD2C8D27-6085-4209-80B7-F924ACEE2674}" id="{7A66BB4E-1941-4CCC-8606-91AC794CD12F}">
    <text>6-10-25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4.vml"/><Relationship Id="rId4" Type="http://schemas.microsoft.com/office/2017/10/relationships/threadedComment" Target="../threadedComments/threadedComment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F587E-961B-47F5-AF78-67D40283B7DC}">
  <dimension ref="A1:P15"/>
  <sheetViews>
    <sheetView tabSelected="1" zoomScale="90" zoomScaleNormal="90" workbookViewId="0">
      <selection activeCell="G5" sqref="G5"/>
    </sheetView>
  </sheetViews>
  <sheetFormatPr defaultColWidth="11.453125" defaultRowHeight="16" x14ac:dyDescent="0.4"/>
  <cols>
    <col min="1" max="1" width="13.26953125" bestFit="1" customWidth="1"/>
    <col min="2" max="2" width="32.81640625" customWidth="1"/>
    <col min="3" max="3" width="19.26953125" customWidth="1"/>
    <col min="4" max="4" width="19.453125" bestFit="1" customWidth="1"/>
    <col min="5" max="5" width="22" customWidth="1"/>
    <col min="6" max="6" width="23.1796875" bestFit="1" customWidth="1"/>
    <col min="7" max="7" width="16.26953125" bestFit="1" customWidth="1"/>
    <col min="8" max="9" width="9.1796875"/>
    <col min="10" max="10" width="20" bestFit="1" customWidth="1"/>
    <col min="11" max="11" width="20" customWidth="1"/>
    <col min="12" max="12" width="9.1796875"/>
    <col min="13" max="13" width="12.7265625" style="3" bestFit="1" customWidth="1"/>
    <col min="14" max="14" width="13.1796875" style="3" bestFit="1" customWidth="1"/>
    <col min="15" max="15" width="25.26953125" style="3" bestFit="1" customWidth="1"/>
    <col min="16" max="16" width="9.1796875" style="3"/>
  </cols>
  <sheetData>
    <row r="1" spans="1:15" ht="26" x14ac:dyDescent="0.6">
      <c r="A1" s="19" t="s">
        <v>0</v>
      </c>
    </row>
    <row r="3" spans="1:15" ht="22.15" customHeight="1" x14ac:dyDescent="0.4">
      <c r="A3" s="15" t="s">
        <v>1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6</v>
      </c>
      <c r="G3" s="16" t="s">
        <v>7</v>
      </c>
      <c r="H3" s="16" t="s">
        <v>8</v>
      </c>
      <c r="I3" s="16" t="s">
        <v>9</v>
      </c>
      <c r="J3" s="16" t="s">
        <v>10</v>
      </c>
      <c r="K3" s="16" t="s">
        <v>11</v>
      </c>
      <c r="M3" s="1" t="s">
        <v>12</v>
      </c>
      <c r="N3" s="1" t="s">
        <v>13</v>
      </c>
      <c r="O3" s="1" t="s">
        <v>14</v>
      </c>
    </row>
    <row r="4" spans="1:15" ht="22.9" customHeight="1" x14ac:dyDescent="0.4">
      <c r="A4" s="372" t="s">
        <v>15</v>
      </c>
      <c r="B4" s="5" t="s">
        <v>16</v>
      </c>
      <c r="C4" s="5" t="s">
        <v>17</v>
      </c>
      <c r="D4" s="5" t="s">
        <v>18</v>
      </c>
      <c r="E4" s="5" t="s">
        <v>19</v>
      </c>
      <c r="F4" s="5" t="s">
        <v>20</v>
      </c>
      <c r="G4" s="5"/>
      <c r="H4" s="5"/>
      <c r="I4" s="5">
        <v>4</v>
      </c>
      <c r="J4" s="372">
        <f>SUM(I4:I6)</f>
        <v>25</v>
      </c>
      <c r="K4" s="11">
        <f t="shared" ref="K4:K14" si="0">H4*I4</f>
        <v>0</v>
      </c>
      <c r="M4" s="1" t="s">
        <v>21</v>
      </c>
      <c r="N4" s="1" t="s">
        <v>22</v>
      </c>
      <c r="O4" s="2"/>
    </row>
    <row r="5" spans="1:15" ht="22.9" customHeight="1" x14ac:dyDescent="0.4">
      <c r="A5" s="372"/>
      <c r="B5" s="5" t="s">
        <v>23</v>
      </c>
      <c r="C5" s="5" t="s">
        <v>24</v>
      </c>
      <c r="D5" s="5" t="s">
        <v>25</v>
      </c>
      <c r="E5" s="5" t="s">
        <v>26</v>
      </c>
      <c r="F5" s="5" t="s">
        <v>27</v>
      </c>
      <c r="G5" s="5"/>
      <c r="H5" s="5"/>
      <c r="I5" s="5">
        <v>12</v>
      </c>
      <c r="J5" s="372"/>
      <c r="K5" s="11">
        <f t="shared" si="0"/>
        <v>0</v>
      </c>
      <c r="M5" s="1" t="s">
        <v>28</v>
      </c>
      <c r="N5" s="1" t="s">
        <v>29</v>
      </c>
      <c r="O5" s="2"/>
    </row>
    <row r="6" spans="1:15" ht="22.9" customHeight="1" x14ac:dyDescent="0.4">
      <c r="A6" s="372"/>
      <c r="B6" s="5" t="s">
        <v>30</v>
      </c>
      <c r="C6" s="5" t="s">
        <v>31</v>
      </c>
      <c r="D6" s="5" t="s">
        <v>32</v>
      </c>
      <c r="E6" s="5" t="s">
        <v>33</v>
      </c>
      <c r="F6" s="5" t="s">
        <v>34</v>
      </c>
      <c r="G6" s="5"/>
      <c r="H6" s="5"/>
      <c r="I6" s="5">
        <v>9</v>
      </c>
      <c r="J6" s="372"/>
      <c r="K6" s="11">
        <f t="shared" si="0"/>
        <v>0</v>
      </c>
      <c r="M6" s="1" t="s">
        <v>35</v>
      </c>
      <c r="N6" s="1" t="s">
        <v>36</v>
      </c>
      <c r="O6" s="2"/>
    </row>
    <row r="7" spans="1:15" ht="22.9" customHeight="1" x14ac:dyDescent="0.4">
      <c r="A7" s="373" t="s">
        <v>37</v>
      </c>
      <c r="B7" s="6" t="s">
        <v>38</v>
      </c>
      <c r="C7" s="6" t="s">
        <v>39</v>
      </c>
      <c r="D7" s="6" t="s">
        <v>40</v>
      </c>
      <c r="E7" s="6" t="s">
        <v>41</v>
      </c>
      <c r="F7" s="6" t="s">
        <v>42</v>
      </c>
      <c r="G7" s="6"/>
      <c r="H7" s="6"/>
      <c r="I7" s="6">
        <v>13</v>
      </c>
      <c r="J7" s="373">
        <f>SUM(I7:I10)</f>
        <v>30</v>
      </c>
      <c r="K7" s="11">
        <f t="shared" si="0"/>
        <v>0</v>
      </c>
      <c r="M7" s="1" t="s">
        <v>43</v>
      </c>
      <c r="N7" s="1" t="s">
        <v>44</v>
      </c>
      <c r="O7" s="18"/>
    </row>
    <row r="8" spans="1:15" ht="22.9" customHeight="1" x14ac:dyDescent="0.4">
      <c r="A8" s="373"/>
      <c r="B8" s="6" t="s">
        <v>45</v>
      </c>
      <c r="C8" s="6" t="s">
        <v>39</v>
      </c>
      <c r="D8" s="6" t="s">
        <v>46</v>
      </c>
      <c r="E8" s="6" t="s">
        <v>47</v>
      </c>
      <c r="F8" s="6" t="s">
        <v>48</v>
      </c>
      <c r="G8" s="6"/>
      <c r="H8" s="6"/>
      <c r="I8" s="6">
        <v>13</v>
      </c>
      <c r="J8" s="373"/>
      <c r="K8" s="11">
        <f t="shared" si="0"/>
        <v>0</v>
      </c>
    </row>
    <row r="9" spans="1:15" ht="22.9" customHeight="1" x14ac:dyDescent="0.4">
      <c r="A9" s="373"/>
      <c r="B9" s="379" t="s">
        <v>49</v>
      </c>
      <c r="C9" s="6" t="s">
        <v>50</v>
      </c>
      <c r="D9" s="6" t="s">
        <v>51</v>
      </c>
      <c r="E9" s="6" t="s">
        <v>52</v>
      </c>
      <c r="F9" s="6" t="s">
        <v>53</v>
      </c>
      <c r="G9" s="6"/>
      <c r="H9" s="6"/>
      <c r="I9" s="6">
        <v>2</v>
      </c>
      <c r="J9" s="373"/>
      <c r="K9" s="11">
        <f t="shared" si="0"/>
        <v>0</v>
      </c>
    </row>
    <row r="10" spans="1:15" ht="22.9" customHeight="1" x14ac:dyDescent="0.4">
      <c r="A10" s="373"/>
      <c r="B10" s="380"/>
      <c r="C10" s="6" t="s">
        <v>54</v>
      </c>
      <c r="D10" s="6" t="s">
        <v>55</v>
      </c>
      <c r="E10" s="6" t="s">
        <v>56</v>
      </c>
      <c r="F10" s="6" t="s">
        <v>57</v>
      </c>
      <c r="G10" s="6"/>
      <c r="H10" s="6"/>
      <c r="I10" s="6">
        <v>2</v>
      </c>
      <c r="J10" s="373"/>
      <c r="K10" s="11">
        <f t="shared" si="0"/>
        <v>0</v>
      </c>
    </row>
    <row r="11" spans="1:15" ht="22.9" customHeight="1" x14ac:dyDescent="0.4">
      <c r="A11" s="7" t="s">
        <v>58</v>
      </c>
      <c r="B11" s="8" t="s">
        <v>59</v>
      </c>
      <c r="C11" s="8" t="s">
        <v>60</v>
      </c>
      <c r="D11" s="8" t="s">
        <v>61</v>
      </c>
      <c r="E11" s="8" t="s">
        <v>62</v>
      </c>
      <c r="F11" s="8" t="s">
        <v>63</v>
      </c>
      <c r="G11" s="13"/>
      <c r="H11" s="13"/>
      <c r="I11" s="13">
        <v>5</v>
      </c>
      <c r="J11" s="7">
        <v>5</v>
      </c>
      <c r="K11" s="11">
        <f t="shared" si="0"/>
        <v>0</v>
      </c>
    </row>
    <row r="12" spans="1:15" ht="22.9" customHeight="1" x14ac:dyDescent="0.4">
      <c r="A12" s="374" t="s">
        <v>64</v>
      </c>
      <c r="B12" s="10" t="s">
        <v>65</v>
      </c>
      <c r="C12" s="10" t="s">
        <v>66</v>
      </c>
      <c r="D12" s="10" t="s">
        <v>67</v>
      </c>
      <c r="E12" s="10" t="s">
        <v>68</v>
      </c>
      <c r="F12" s="10" t="s">
        <v>69</v>
      </c>
      <c r="G12" s="10"/>
      <c r="H12" s="10"/>
      <c r="I12" s="10">
        <v>20</v>
      </c>
      <c r="J12" s="376">
        <f>SUM(I12:I14)</f>
        <v>60</v>
      </c>
      <c r="K12" s="11">
        <f t="shared" si="0"/>
        <v>0</v>
      </c>
    </row>
    <row r="13" spans="1:15" ht="22.9" customHeight="1" x14ac:dyDescent="0.4">
      <c r="A13" s="375"/>
      <c r="B13" s="10" t="s">
        <v>70</v>
      </c>
      <c r="C13" s="10" t="s">
        <v>71</v>
      </c>
      <c r="D13" s="17" t="s">
        <v>72</v>
      </c>
      <c r="E13" s="17" t="s">
        <v>73</v>
      </c>
      <c r="F13" s="17" t="s">
        <v>74</v>
      </c>
      <c r="G13" s="10"/>
      <c r="H13" s="10"/>
      <c r="I13" s="10">
        <v>20</v>
      </c>
      <c r="J13" s="377"/>
      <c r="K13" s="11">
        <f t="shared" si="0"/>
        <v>0</v>
      </c>
    </row>
    <row r="14" spans="1:15" ht="22.9" customHeight="1" x14ac:dyDescent="0.4">
      <c r="A14" s="375"/>
      <c r="B14" s="17" t="s">
        <v>75</v>
      </c>
      <c r="C14" s="17" t="s">
        <v>71</v>
      </c>
      <c r="D14" s="17" t="s">
        <v>76</v>
      </c>
      <c r="E14" s="17" t="s">
        <v>77</v>
      </c>
      <c r="F14" s="17" t="s">
        <v>78</v>
      </c>
      <c r="G14" s="17"/>
      <c r="H14" s="17"/>
      <c r="I14" s="17">
        <v>20</v>
      </c>
      <c r="J14" s="378"/>
      <c r="K14" s="11">
        <f t="shared" si="0"/>
        <v>0</v>
      </c>
    </row>
    <row r="15" spans="1:15" ht="22.9" customHeight="1" x14ac:dyDescent="0.4">
      <c r="G15" s="4"/>
      <c r="J15" s="14">
        <f>SUM(J4:J12)</f>
        <v>120</v>
      </c>
      <c r="K15" s="11">
        <f>SUM(K4:K14)/10</f>
        <v>0</v>
      </c>
    </row>
  </sheetData>
  <mergeCells count="7">
    <mergeCell ref="A4:A6"/>
    <mergeCell ref="J4:J6"/>
    <mergeCell ref="A7:A10"/>
    <mergeCell ref="J7:J10"/>
    <mergeCell ref="A12:A14"/>
    <mergeCell ref="J12:J14"/>
    <mergeCell ref="B9:B10"/>
  </mergeCells>
  <phoneticPr fontId="2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1B941-BAD9-484B-ACF7-F39D0B05A463}">
  <dimension ref="A1:P31"/>
  <sheetViews>
    <sheetView zoomScale="90" zoomScaleNormal="90" workbookViewId="0">
      <selection activeCell="G5" sqref="G5"/>
    </sheetView>
  </sheetViews>
  <sheetFormatPr defaultColWidth="11.453125" defaultRowHeight="16" x14ac:dyDescent="0.4"/>
  <cols>
    <col min="1" max="1" width="13.26953125" bestFit="1" customWidth="1"/>
    <col min="2" max="2" width="32.81640625" customWidth="1"/>
    <col min="3" max="3" width="19.26953125" customWidth="1"/>
    <col min="4" max="4" width="19.453125" bestFit="1" customWidth="1"/>
    <col min="5" max="5" width="22.7265625" bestFit="1" customWidth="1"/>
    <col min="6" max="6" width="23.1796875" bestFit="1" customWidth="1"/>
    <col min="7" max="7" width="16.26953125" bestFit="1" customWidth="1"/>
    <col min="10" max="10" width="20" bestFit="1" customWidth="1"/>
    <col min="11" max="11" width="20" customWidth="1"/>
    <col min="13" max="13" width="12.7265625" style="3" bestFit="1" customWidth="1"/>
    <col min="14" max="14" width="13.1796875" style="3" bestFit="1" customWidth="1"/>
    <col min="15" max="15" width="25.26953125" style="3" bestFit="1" customWidth="1"/>
    <col min="16" max="16" width="11.54296875" style="3"/>
  </cols>
  <sheetData>
    <row r="1" spans="1:15" ht="26" x14ac:dyDescent="0.6">
      <c r="A1" s="19" t="s">
        <v>79</v>
      </c>
    </row>
    <row r="3" spans="1:15" ht="22.9" customHeight="1" x14ac:dyDescent="0.4">
      <c r="A3" s="15" t="s">
        <v>1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6</v>
      </c>
      <c r="G3" s="16" t="s">
        <v>7</v>
      </c>
      <c r="H3" s="16" t="s">
        <v>8</v>
      </c>
      <c r="I3" s="16" t="s">
        <v>9</v>
      </c>
      <c r="J3" s="16" t="s">
        <v>10</v>
      </c>
      <c r="K3" s="16" t="s">
        <v>11</v>
      </c>
      <c r="M3" s="1" t="s">
        <v>12</v>
      </c>
      <c r="N3" s="1" t="s">
        <v>13</v>
      </c>
      <c r="O3" s="1" t="s">
        <v>14</v>
      </c>
    </row>
    <row r="4" spans="1:15" ht="22.9" customHeight="1" x14ac:dyDescent="0.4">
      <c r="A4" s="372" t="s">
        <v>15</v>
      </c>
      <c r="B4" s="5" t="s">
        <v>16</v>
      </c>
      <c r="C4" s="5" t="s">
        <v>17</v>
      </c>
      <c r="D4" s="5" t="s">
        <v>18</v>
      </c>
      <c r="E4" s="5" t="s">
        <v>19</v>
      </c>
      <c r="F4" s="5" t="s">
        <v>20</v>
      </c>
      <c r="G4" s="5"/>
      <c r="H4" s="5"/>
      <c r="I4" s="5">
        <v>4</v>
      </c>
      <c r="J4" s="372">
        <f>SUM(I4:I6)</f>
        <v>25</v>
      </c>
      <c r="K4" s="11">
        <f t="shared" ref="K4:K14" si="0">H4*I4</f>
        <v>0</v>
      </c>
      <c r="M4" s="1" t="s">
        <v>21</v>
      </c>
      <c r="N4" s="1" t="s">
        <v>22</v>
      </c>
      <c r="O4" s="2"/>
    </row>
    <row r="5" spans="1:15" ht="22.9" customHeight="1" x14ac:dyDescent="0.4">
      <c r="A5" s="372"/>
      <c r="B5" s="5" t="s">
        <v>23</v>
      </c>
      <c r="C5" s="5" t="s">
        <v>24</v>
      </c>
      <c r="D5" s="5" t="s">
        <v>25</v>
      </c>
      <c r="E5" s="5" t="s">
        <v>26</v>
      </c>
      <c r="F5" s="5" t="s">
        <v>27</v>
      </c>
      <c r="G5" s="5"/>
      <c r="H5" s="5"/>
      <c r="I5" s="5">
        <v>12</v>
      </c>
      <c r="J5" s="372"/>
      <c r="K5" s="11">
        <f t="shared" si="0"/>
        <v>0</v>
      </c>
      <c r="M5" s="1" t="s">
        <v>28</v>
      </c>
      <c r="N5" s="1" t="s">
        <v>29</v>
      </c>
      <c r="O5" s="2"/>
    </row>
    <row r="6" spans="1:15" ht="22.9" customHeight="1" x14ac:dyDescent="0.4">
      <c r="A6" s="372"/>
      <c r="B6" s="5" t="s">
        <v>30</v>
      </c>
      <c r="C6" s="5" t="s">
        <v>31</v>
      </c>
      <c r="D6" s="5" t="s">
        <v>32</v>
      </c>
      <c r="E6" s="5" t="s">
        <v>33</v>
      </c>
      <c r="F6" s="5" t="s">
        <v>34</v>
      </c>
      <c r="G6" s="5"/>
      <c r="H6" s="5"/>
      <c r="I6" s="5">
        <v>9</v>
      </c>
      <c r="J6" s="372"/>
      <c r="K6" s="11">
        <f t="shared" si="0"/>
        <v>0</v>
      </c>
      <c r="M6" s="1" t="s">
        <v>35</v>
      </c>
      <c r="N6" s="1" t="s">
        <v>36</v>
      </c>
      <c r="O6" s="2"/>
    </row>
    <row r="7" spans="1:15" ht="22.9" customHeight="1" x14ac:dyDescent="0.4">
      <c r="A7" s="373" t="s">
        <v>37</v>
      </c>
      <c r="B7" s="6" t="s">
        <v>38</v>
      </c>
      <c r="C7" s="6" t="s">
        <v>39</v>
      </c>
      <c r="D7" s="6" t="s">
        <v>40</v>
      </c>
      <c r="E7" s="6" t="s">
        <v>41</v>
      </c>
      <c r="F7" s="6" t="s">
        <v>42</v>
      </c>
      <c r="G7" s="6"/>
      <c r="H7" s="6"/>
      <c r="I7" s="6">
        <v>13</v>
      </c>
      <c r="J7" s="373">
        <f>SUM(I7:I10)</f>
        <v>30</v>
      </c>
      <c r="K7" s="11">
        <f t="shared" si="0"/>
        <v>0</v>
      </c>
      <c r="M7" s="1" t="s">
        <v>43</v>
      </c>
      <c r="N7" s="1" t="s">
        <v>44</v>
      </c>
      <c r="O7" s="18"/>
    </row>
    <row r="8" spans="1:15" ht="22.9" customHeight="1" x14ac:dyDescent="0.4">
      <c r="A8" s="373"/>
      <c r="B8" s="6" t="s">
        <v>45</v>
      </c>
      <c r="C8" s="6" t="s">
        <v>39</v>
      </c>
      <c r="D8" s="6" t="s">
        <v>46</v>
      </c>
      <c r="E8" s="6" t="s">
        <v>47</v>
      </c>
      <c r="F8" s="6" t="s">
        <v>48</v>
      </c>
      <c r="G8" s="6"/>
      <c r="H8" s="6"/>
      <c r="I8" s="6">
        <v>13</v>
      </c>
      <c r="J8" s="373"/>
      <c r="K8" s="11">
        <f t="shared" si="0"/>
        <v>0</v>
      </c>
    </row>
    <row r="9" spans="1:15" ht="22.9" customHeight="1" x14ac:dyDescent="0.4">
      <c r="A9" s="373"/>
      <c r="B9" s="379" t="s">
        <v>49</v>
      </c>
      <c r="C9" s="6" t="s">
        <v>50</v>
      </c>
      <c r="D9" s="6" t="s">
        <v>51</v>
      </c>
      <c r="E9" s="6" t="s">
        <v>52</v>
      </c>
      <c r="F9" s="6" t="s">
        <v>53</v>
      </c>
      <c r="G9" s="6"/>
      <c r="H9" s="6"/>
      <c r="I9" s="6">
        <v>2</v>
      </c>
      <c r="J9" s="373"/>
      <c r="K9" s="11">
        <f t="shared" si="0"/>
        <v>0</v>
      </c>
    </row>
    <row r="10" spans="1:15" ht="22.9" customHeight="1" x14ac:dyDescent="0.4">
      <c r="A10" s="373"/>
      <c r="B10" s="380"/>
      <c r="C10" s="6" t="s">
        <v>54</v>
      </c>
      <c r="D10" s="6" t="s">
        <v>55</v>
      </c>
      <c r="E10" s="6" t="s">
        <v>56</v>
      </c>
      <c r="F10" s="6" t="s">
        <v>57</v>
      </c>
      <c r="G10" s="6"/>
      <c r="H10" s="6"/>
      <c r="I10" s="6">
        <v>2</v>
      </c>
      <c r="J10" s="373"/>
      <c r="K10" s="11">
        <f t="shared" si="0"/>
        <v>0</v>
      </c>
    </row>
    <row r="11" spans="1:15" ht="32" x14ac:dyDescent="0.4">
      <c r="A11" s="7" t="s">
        <v>58</v>
      </c>
      <c r="B11" s="8" t="s">
        <v>59</v>
      </c>
      <c r="C11" s="8" t="s">
        <v>60</v>
      </c>
      <c r="D11" s="8" t="s">
        <v>80</v>
      </c>
      <c r="E11" s="8" t="s">
        <v>81</v>
      </c>
      <c r="F11" s="8" t="s">
        <v>82</v>
      </c>
      <c r="G11" s="13"/>
      <c r="H11" s="13"/>
      <c r="I11" s="13">
        <v>5</v>
      </c>
      <c r="J11" s="7">
        <v>5</v>
      </c>
      <c r="K11" s="11">
        <f t="shared" si="0"/>
        <v>0</v>
      </c>
    </row>
    <row r="12" spans="1:15" ht="22.9" customHeight="1" x14ac:dyDescent="0.4">
      <c r="A12" s="374" t="s">
        <v>64</v>
      </c>
      <c r="B12" s="10" t="s">
        <v>65</v>
      </c>
      <c r="C12" s="10" t="s">
        <v>66</v>
      </c>
      <c r="D12" s="10" t="s">
        <v>67</v>
      </c>
      <c r="E12" s="10" t="s">
        <v>68</v>
      </c>
      <c r="F12" s="10" t="s">
        <v>69</v>
      </c>
      <c r="G12" s="10"/>
      <c r="H12" s="10"/>
      <c r="I12" s="10">
        <v>20</v>
      </c>
      <c r="J12" s="376">
        <f>SUM(I12:I14)</f>
        <v>60</v>
      </c>
      <c r="K12" s="11">
        <f t="shared" si="0"/>
        <v>0</v>
      </c>
    </row>
    <row r="13" spans="1:15" ht="22.9" customHeight="1" x14ac:dyDescent="0.4">
      <c r="A13" s="375"/>
      <c r="B13" s="10" t="s">
        <v>70</v>
      </c>
      <c r="C13" s="10" t="s">
        <v>71</v>
      </c>
      <c r="D13" s="17" t="s">
        <v>83</v>
      </c>
      <c r="E13" s="17" t="s">
        <v>84</v>
      </c>
      <c r="F13" s="17" t="s">
        <v>85</v>
      </c>
      <c r="G13" s="10"/>
      <c r="H13" s="10"/>
      <c r="I13" s="10">
        <v>20</v>
      </c>
      <c r="J13" s="377"/>
      <c r="K13" s="11">
        <f t="shared" si="0"/>
        <v>0</v>
      </c>
    </row>
    <row r="14" spans="1:15" ht="22.9" customHeight="1" x14ac:dyDescent="0.4">
      <c r="A14" s="375"/>
      <c r="B14" s="17" t="s">
        <v>75</v>
      </c>
      <c r="C14" s="17" t="s">
        <v>71</v>
      </c>
      <c r="D14" s="17" t="s">
        <v>86</v>
      </c>
      <c r="E14" s="17" t="s">
        <v>87</v>
      </c>
      <c r="F14" s="17" t="s">
        <v>88</v>
      </c>
      <c r="G14" s="17"/>
      <c r="H14" s="17"/>
      <c r="I14" s="17">
        <v>20</v>
      </c>
      <c r="J14" s="378"/>
      <c r="K14" s="11">
        <f t="shared" si="0"/>
        <v>0</v>
      </c>
    </row>
    <row r="15" spans="1:15" ht="22.9" customHeight="1" x14ac:dyDescent="0.4">
      <c r="G15" s="4"/>
      <c r="J15" s="14">
        <f>SUM(J4:J12)</f>
        <v>120</v>
      </c>
      <c r="K15" s="11">
        <f>SUM(K4:K14)/10</f>
        <v>0</v>
      </c>
    </row>
    <row r="17" spans="1:11" ht="26" x14ac:dyDescent="0.6">
      <c r="A17" s="19" t="s">
        <v>89</v>
      </c>
    </row>
    <row r="19" spans="1:11" ht="22.9" customHeight="1" x14ac:dyDescent="0.4">
      <c r="A19" s="15" t="s">
        <v>1</v>
      </c>
      <c r="B19" s="16" t="s">
        <v>2</v>
      </c>
      <c r="C19" s="16" t="s">
        <v>3</v>
      </c>
      <c r="D19" s="16" t="s">
        <v>4</v>
      </c>
      <c r="E19" s="16" t="s">
        <v>5</v>
      </c>
      <c r="F19" s="16" t="s">
        <v>6</v>
      </c>
      <c r="G19" s="16" t="s">
        <v>7</v>
      </c>
      <c r="H19" s="16" t="s">
        <v>8</v>
      </c>
      <c r="I19" s="16" t="s">
        <v>9</v>
      </c>
      <c r="J19" s="16" t="s">
        <v>10</v>
      </c>
      <c r="K19" s="16" t="s">
        <v>11</v>
      </c>
    </row>
    <row r="20" spans="1:11" ht="22.9" customHeight="1" x14ac:dyDescent="0.4">
      <c r="A20" s="372" t="s">
        <v>15</v>
      </c>
      <c r="B20" s="5" t="s">
        <v>16</v>
      </c>
      <c r="C20" s="5" t="s">
        <v>17</v>
      </c>
      <c r="D20" s="5" t="s">
        <v>90</v>
      </c>
      <c r="E20" s="5" t="s">
        <v>91</v>
      </c>
      <c r="F20" s="5" t="s">
        <v>92</v>
      </c>
      <c r="G20" s="5"/>
      <c r="H20" s="5"/>
      <c r="I20" s="5">
        <v>4</v>
      </c>
      <c r="J20" s="372">
        <f>SUM(I20:I22)</f>
        <v>25</v>
      </c>
      <c r="K20" s="11">
        <f t="shared" ref="K20:K30" si="1">H20*I20</f>
        <v>0</v>
      </c>
    </row>
    <row r="21" spans="1:11" ht="22.9" customHeight="1" x14ac:dyDescent="0.4">
      <c r="A21" s="372"/>
      <c r="B21" s="5" t="s">
        <v>23</v>
      </c>
      <c r="C21" s="5" t="s">
        <v>24</v>
      </c>
      <c r="D21" s="5" t="s">
        <v>93</v>
      </c>
      <c r="E21" s="5" t="s">
        <v>94</v>
      </c>
      <c r="F21" s="5" t="s">
        <v>95</v>
      </c>
      <c r="G21" s="5"/>
      <c r="H21" s="5"/>
      <c r="I21" s="5">
        <v>12</v>
      </c>
      <c r="J21" s="372"/>
      <c r="K21" s="11">
        <f t="shared" si="1"/>
        <v>0</v>
      </c>
    </row>
    <row r="22" spans="1:11" ht="22.9" customHeight="1" x14ac:dyDescent="0.4">
      <c r="A22" s="372"/>
      <c r="B22" s="5" t="s">
        <v>30</v>
      </c>
      <c r="C22" s="5" t="s">
        <v>31</v>
      </c>
      <c r="D22" s="5" t="s">
        <v>32</v>
      </c>
      <c r="E22" s="5" t="s">
        <v>33</v>
      </c>
      <c r="F22" s="5" t="s">
        <v>34</v>
      </c>
      <c r="G22" s="5"/>
      <c r="H22" s="5"/>
      <c r="I22" s="5">
        <v>9</v>
      </c>
      <c r="J22" s="372"/>
      <c r="K22" s="11">
        <f t="shared" si="1"/>
        <v>0</v>
      </c>
    </row>
    <row r="23" spans="1:11" ht="22.9" customHeight="1" x14ac:dyDescent="0.4">
      <c r="A23" s="373" t="s">
        <v>37</v>
      </c>
      <c r="B23" s="6" t="s">
        <v>38</v>
      </c>
      <c r="C23" s="6" t="s">
        <v>39</v>
      </c>
      <c r="D23" s="6" t="s">
        <v>40</v>
      </c>
      <c r="E23" s="6" t="s">
        <v>41</v>
      </c>
      <c r="F23" s="6" t="s">
        <v>42</v>
      </c>
      <c r="G23" s="6"/>
      <c r="H23" s="6"/>
      <c r="I23" s="6">
        <v>13</v>
      </c>
      <c r="J23" s="373">
        <f>SUM(I23:I26)</f>
        <v>30</v>
      </c>
      <c r="K23" s="11">
        <f t="shared" si="1"/>
        <v>0</v>
      </c>
    </row>
    <row r="24" spans="1:11" ht="22.9" customHeight="1" x14ac:dyDescent="0.4">
      <c r="A24" s="373"/>
      <c r="B24" s="6" t="s">
        <v>45</v>
      </c>
      <c r="C24" s="6" t="s">
        <v>39</v>
      </c>
      <c r="D24" s="6" t="s">
        <v>46</v>
      </c>
      <c r="E24" s="6" t="s">
        <v>47</v>
      </c>
      <c r="F24" s="6" t="s">
        <v>48</v>
      </c>
      <c r="G24" s="6"/>
      <c r="H24" s="6"/>
      <c r="I24" s="6">
        <v>13</v>
      </c>
      <c r="J24" s="373"/>
      <c r="K24" s="11">
        <f t="shared" si="1"/>
        <v>0</v>
      </c>
    </row>
    <row r="25" spans="1:11" ht="22.9" customHeight="1" x14ac:dyDescent="0.4">
      <c r="A25" s="373"/>
      <c r="B25" s="379" t="s">
        <v>49</v>
      </c>
      <c r="C25" s="6" t="s">
        <v>50</v>
      </c>
      <c r="D25" s="6" t="s">
        <v>51</v>
      </c>
      <c r="E25" s="6" t="s">
        <v>52</v>
      </c>
      <c r="F25" s="6" t="s">
        <v>53</v>
      </c>
      <c r="G25" s="6"/>
      <c r="H25" s="6"/>
      <c r="I25" s="6">
        <v>2</v>
      </c>
      <c r="J25" s="373"/>
      <c r="K25" s="11">
        <f t="shared" si="1"/>
        <v>0</v>
      </c>
    </row>
    <row r="26" spans="1:11" ht="22.9" customHeight="1" x14ac:dyDescent="0.4">
      <c r="A26" s="373"/>
      <c r="B26" s="380"/>
      <c r="C26" s="6" t="s">
        <v>54</v>
      </c>
      <c r="D26" s="6" t="s">
        <v>55</v>
      </c>
      <c r="E26" s="6" t="s">
        <v>56</v>
      </c>
      <c r="F26" s="6" t="s">
        <v>57</v>
      </c>
      <c r="G26" s="6"/>
      <c r="H26" s="6"/>
      <c r="I26" s="6">
        <v>2</v>
      </c>
      <c r="J26" s="373"/>
      <c r="K26" s="11">
        <f t="shared" si="1"/>
        <v>0</v>
      </c>
    </row>
    <row r="27" spans="1:11" ht="48" x14ac:dyDescent="0.4">
      <c r="A27" s="7" t="s">
        <v>58</v>
      </c>
      <c r="B27" s="8" t="s">
        <v>59</v>
      </c>
      <c r="C27" s="8" t="s">
        <v>60</v>
      </c>
      <c r="D27" s="8" t="s">
        <v>96</v>
      </c>
      <c r="E27" s="8" t="s">
        <v>97</v>
      </c>
      <c r="F27" s="8" t="s">
        <v>98</v>
      </c>
      <c r="G27" s="13"/>
      <c r="H27" s="13"/>
      <c r="I27" s="13">
        <v>5</v>
      </c>
      <c r="J27" s="7">
        <v>5</v>
      </c>
      <c r="K27" s="11">
        <f t="shared" si="1"/>
        <v>0</v>
      </c>
    </row>
    <row r="28" spans="1:11" ht="22.9" customHeight="1" x14ac:dyDescent="0.4">
      <c r="A28" s="374" t="s">
        <v>64</v>
      </c>
      <c r="B28" s="10" t="s">
        <v>65</v>
      </c>
      <c r="C28" s="10" t="s">
        <v>66</v>
      </c>
      <c r="D28" s="10" t="s">
        <v>67</v>
      </c>
      <c r="E28" s="10" t="s">
        <v>68</v>
      </c>
      <c r="F28" s="10" t="s">
        <v>69</v>
      </c>
      <c r="G28" s="10"/>
      <c r="H28" s="10"/>
      <c r="I28" s="10">
        <v>20</v>
      </c>
      <c r="J28" s="376">
        <f>SUM(I28:I30)</f>
        <v>60</v>
      </c>
      <c r="K28" s="11">
        <f t="shared" si="1"/>
        <v>0</v>
      </c>
    </row>
    <row r="29" spans="1:11" ht="22.9" customHeight="1" x14ac:dyDescent="0.4">
      <c r="A29" s="375"/>
      <c r="B29" s="10" t="s">
        <v>70</v>
      </c>
      <c r="C29" s="10" t="s">
        <v>71</v>
      </c>
      <c r="D29" s="17" t="s">
        <v>99</v>
      </c>
      <c r="E29" s="17" t="s">
        <v>100</v>
      </c>
      <c r="F29" s="17" t="s">
        <v>101</v>
      </c>
      <c r="G29" s="10"/>
      <c r="H29" s="10"/>
      <c r="I29" s="10">
        <v>20</v>
      </c>
      <c r="J29" s="377"/>
      <c r="K29" s="11">
        <f t="shared" si="1"/>
        <v>0</v>
      </c>
    </row>
    <row r="30" spans="1:11" ht="22.9" customHeight="1" x14ac:dyDescent="0.4">
      <c r="A30" s="375"/>
      <c r="B30" s="17" t="s">
        <v>75</v>
      </c>
      <c r="C30" s="17" t="s">
        <v>71</v>
      </c>
      <c r="D30" s="17" t="s">
        <v>102</v>
      </c>
      <c r="E30" s="17" t="s">
        <v>103</v>
      </c>
      <c r="F30" s="17" t="s">
        <v>104</v>
      </c>
      <c r="G30" s="17"/>
      <c r="H30" s="17"/>
      <c r="I30" s="17">
        <v>20</v>
      </c>
      <c r="J30" s="378"/>
      <c r="K30" s="11">
        <f t="shared" si="1"/>
        <v>0</v>
      </c>
    </row>
    <row r="31" spans="1:11" ht="22.9" customHeight="1" x14ac:dyDescent="0.4">
      <c r="G31" s="4"/>
      <c r="J31" s="14">
        <f>SUM(J20:J28)</f>
        <v>120</v>
      </c>
      <c r="K31" s="12">
        <f>SUM(K20:K30)/10</f>
        <v>0</v>
      </c>
    </row>
  </sheetData>
  <mergeCells count="14">
    <mergeCell ref="A20:A22"/>
    <mergeCell ref="J20:J22"/>
    <mergeCell ref="A23:A26"/>
    <mergeCell ref="J23:J26"/>
    <mergeCell ref="A28:A30"/>
    <mergeCell ref="J28:J30"/>
    <mergeCell ref="B25:B26"/>
    <mergeCell ref="A4:A6"/>
    <mergeCell ref="J4:J6"/>
    <mergeCell ref="A7:A10"/>
    <mergeCell ref="J7:J10"/>
    <mergeCell ref="A12:A14"/>
    <mergeCell ref="J12:J14"/>
    <mergeCell ref="B9:B10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79AE6-009B-42E5-BAAB-6353A5DD5942}">
  <dimension ref="A1:O32"/>
  <sheetViews>
    <sheetView topLeftCell="A17" workbookViewId="0">
      <selection activeCell="A20" sqref="A20"/>
    </sheetView>
  </sheetViews>
  <sheetFormatPr defaultColWidth="8.81640625" defaultRowHeight="14.5" x14ac:dyDescent="0.35"/>
  <cols>
    <col min="1" max="1" width="13.26953125" bestFit="1" customWidth="1"/>
    <col min="2" max="2" width="32.81640625" customWidth="1"/>
    <col min="3" max="3" width="19.26953125" customWidth="1"/>
    <col min="4" max="4" width="19.453125" bestFit="1" customWidth="1"/>
    <col min="5" max="5" width="22" customWidth="1"/>
    <col min="6" max="6" width="23.1796875" bestFit="1" customWidth="1"/>
    <col min="7" max="7" width="16.26953125" bestFit="1" customWidth="1"/>
    <col min="8" max="9" width="11.453125"/>
    <col min="10" max="10" width="20" bestFit="1" customWidth="1"/>
    <col min="11" max="11" width="20" customWidth="1"/>
    <col min="12" max="12" width="11.453125"/>
    <col min="13" max="13" width="12.7265625" bestFit="1" customWidth="1"/>
    <col min="14" max="14" width="13.1796875" bestFit="1" customWidth="1"/>
    <col min="15" max="15" width="25.26953125" bestFit="1" customWidth="1"/>
  </cols>
  <sheetData>
    <row r="1" spans="1:15" ht="26" x14ac:dyDescent="0.6">
      <c r="A1" s="19" t="s">
        <v>105</v>
      </c>
      <c r="M1" s="3"/>
      <c r="N1" s="3"/>
      <c r="O1" s="3"/>
    </row>
    <row r="2" spans="1:15" ht="16" x14ac:dyDescent="0.4">
      <c r="M2" s="3"/>
      <c r="N2" s="3"/>
      <c r="O2" s="3"/>
    </row>
    <row r="3" spans="1:15" ht="22.9" customHeight="1" x14ac:dyDescent="0.35">
      <c r="A3" s="15" t="s">
        <v>1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6</v>
      </c>
      <c r="G3" s="16" t="s">
        <v>7</v>
      </c>
      <c r="H3" s="16" t="s">
        <v>8</v>
      </c>
      <c r="I3" s="16" t="s">
        <v>9</v>
      </c>
      <c r="J3" s="16" t="s">
        <v>10</v>
      </c>
      <c r="K3" s="16" t="s">
        <v>11</v>
      </c>
      <c r="M3" s="1" t="s">
        <v>12</v>
      </c>
      <c r="N3" s="1" t="s">
        <v>13</v>
      </c>
      <c r="O3" s="1" t="s">
        <v>14</v>
      </c>
    </row>
    <row r="4" spans="1:15" ht="22.9" customHeight="1" x14ac:dyDescent="0.35">
      <c r="A4" s="372" t="s">
        <v>15</v>
      </c>
      <c r="B4" s="5" t="s">
        <v>16</v>
      </c>
      <c r="C4" s="5" t="s">
        <v>17</v>
      </c>
      <c r="D4" s="5" t="s">
        <v>106</v>
      </c>
      <c r="E4" s="5" t="s">
        <v>107</v>
      </c>
      <c r="F4" s="5" t="s">
        <v>108</v>
      </c>
      <c r="G4" s="5"/>
      <c r="H4" s="5"/>
      <c r="I4" s="5">
        <v>4</v>
      </c>
      <c r="J4" s="372">
        <f>SUM(I4:I6)</f>
        <v>25</v>
      </c>
      <c r="K4" s="11">
        <f t="shared" ref="K4:K14" si="0">H4*I4</f>
        <v>0</v>
      </c>
      <c r="M4" s="1" t="s">
        <v>21</v>
      </c>
      <c r="N4" s="1" t="s">
        <v>22</v>
      </c>
      <c r="O4" s="2"/>
    </row>
    <row r="5" spans="1:15" ht="22.9" customHeight="1" x14ac:dyDescent="0.35">
      <c r="A5" s="372"/>
      <c r="B5" s="5" t="s">
        <v>23</v>
      </c>
      <c r="C5" s="5" t="s">
        <v>24</v>
      </c>
      <c r="D5" s="5" t="s">
        <v>25</v>
      </c>
      <c r="E5" s="5" t="s">
        <v>26</v>
      </c>
      <c r="F5" s="5" t="s">
        <v>27</v>
      </c>
      <c r="G5" s="5"/>
      <c r="H5" s="5"/>
      <c r="I5" s="5">
        <v>12</v>
      </c>
      <c r="J5" s="372"/>
      <c r="K5" s="11">
        <f t="shared" si="0"/>
        <v>0</v>
      </c>
      <c r="M5" s="1" t="s">
        <v>28</v>
      </c>
      <c r="N5" s="1" t="s">
        <v>29</v>
      </c>
      <c r="O5" s="2"/>
    </row>
    <row r="6" spans="1:15" ht="22.9" customHeight="1" x14ac:dyDescent="0.35">
      <c r="A6" s="372"/>
      <c r="B6" s="5" t="s">
        <v>30</v>
      </c>
      <c r="C6" s="5" t="s">
        <v>31</v>
      </c>
      <c r="D6" s="5" t="s">
        <v>32</v>
      </c>
      <c r="E6" s="5" t="s">
        <v>33</v>
      </c>
      <c r="F6" s="5" t="s">
        <v>34</v>
      </c>
      <c r="G6" s="5"/>
      <c r="H6" s="5"/>
      <c r="I6" s="5">
        <v>9</v>
      </c>
      <c r="J6" s="372"/>
      <c r="K6" s="11">
        <f t="shared" si="0"/>
        <v>0</v>
      </c>
      <c r="M6" s="1" t="s">
        <v>35</v>
      </c>
      <c r="N6" s="1" t="s">
        <v>36</v>
      </c>
      <c r="O6" s="2"/>
    </row>
    <row r="7" spans="1:15" ht="22.9" customHeight="1" x14ac:dyDescent="0.4">
      <c r="A7" s="373" t="s">
        <v>37</v>
      </c>
      <c r="B7" s="6" t="s">
        <v>38</v>
      </c>
      <c r="C7" s="6" t="s">
        <v>39</v>
      </c>
      <c r="D7" s="6" t="s">
        <v>40</v>
      </c>
      <c r="E7" s="6" t="s">
        <v>41</v>
      </c>
      <c r="F7" s="6" t="s">
        <v>42</v>
      </c>
      <c r="G7" s="6"/>
      <c r="H7" s="6"/>
      <c r="I7" s="6">
        <v>13</v>
      </c>
      <c r="J7" s="373">
        <f>SUM(I7:I10)</f>
        <v>30</v>
      </c>
      <c r="K7" s="11">
        <f t="shared" si="0"/>
        <v>0</v>
      </c>
      <c r="M7" s="1" t="s">
        <v>43</v>
      </c>
      <c r="N7" s="1" t="s">
        <v>44</v>
      </c>
      <c r="O7" s="18"/>
    </row>
    <row r="8" spans="1:15" ht="22.9" customHeight="1" x14ac:dyDescent="0.4">
      <c r="A8" s="373"/>
      <c r="B8" s="6" t="s">
        <v>45</v>
      </c>
      <c r="C8" s="6" t="s">
        <v>39</v>
      </c>
      <c r="D8" s="6" t="s">
        <v>46</v>
      </c>
      <c r="E8" s="6" t="s">
        <v>47</v>
      </c>
      <c r="F8" s="6" t="s">
        <v>48</v>
      </c>
      <c r="G8" s="6"/>
      <c r="H8" s="6"/>
      <c r="I8" s="6">
        <v>13</v>
      </c>
      <c r="J8" s="373"/>
      <c r="K8" s="11">
        <f t="shared" si="0"/>
        <v>0</v>
      </c>
      <c r="M8" s="3"/>
      <c r="N8" s="3"/>
      <c r="O8" s="3"/>
    </row>
    <row r="9" spans="1:15" ht="22.9" customHeight="1" x14ac:dyDescent="0.4">
      <c r="A9" s="373"/>
      <c r="B9" s="379" t="s">
        <v>49</v>
      </c>
      <c r="C9" s="6" t="s">
        <v>50</v>
      </c>
      <c r="D9" s="6" t="s">
        <v>51</v>
      </c>
      <c r="E9" s="6" t="s">
        <v>52</v>
      </c>
      <c r="F9" s="6" t="s">
        <v>53</v>
      </c>
      <c r="G9" s="6"/>
      <c r="H9" s="6"/>
      <c r="I9" s="6">
        <v>2</v>
      </c>
      <c r="J9" s="373"/>
      <c r="K9" s="11">
        <f t="shared" si="0"/>
        <v>0</v>
      </c>
      <c r="M9" s="3"/>
      <c r="N9" s="3"/>
      <c r="O9" s="3"/>
    </row>
    <row r="10" spans="1:15" ht="22.9" customHeight="1" x14ac:dyDescent="0.4">
      <c r="A10" s="373"/>
      <c r="B10" s="380"/>
      <c r="C10" s="6" t="s">
        <v>54</v>
      </c>
      <c r="D10" s="6" t="s">
        <v>55</v>
      </c>
      <c r="E10" s="6" t="s">
        <v>56</v>
      </c>
      <c r="F10" s="6" t="s">
        <v>57</v>
      </c>
      <c r="G10" s="6"/>
      <c r="H10" s="6"/>
      <c r="I10" s="6">
        <v>2</v>
      </c>
      <c r="J10" s="373"/>
      <c r="K10" s="11">
        <f t="shared" si="0"/>
        <v>0</v>
      </c>
      <c r="M10" s="3"/>
      <c r="N10" s="3"/>
      <c r="O10" s="3"/>
    </row>
    <row r="11" spans="1:15" ht="48" x14ac:dyDescent="0.4">
      <c r="A11" s="7" t="s">
        <v>58</v>
      </c>
      <c r="B11" s="8" t="s">
        <v>59</v>
      </c>
      <c r="C11" s="8" t="s">
        <v>60</v>
      </c>
      <c r="D11" s="8" t="s">
        <v>109</v>
      </c>
      <c r="E11" s="8" t="s">
        <v>110</v>
      </c>
      <c r="F11" s="8" t="s">
        <v>111</v>
      </c>
      <c r="G11" s="13"/>
      <c r="H11" s="13"/>
      <c r="I11" s="13">
        <v>5</v>
      </c>
      <c r="J11" s="7">
        <v>5</v>
      </c>
      <c r="K11" s="11">
        <f t="shared" si="0"/>
        <v>0</v>
      </c>
      <c r="M11" s="3"/>
      <c r="N11" s="3"/>
      <c r="O11" s="3"/>
    </row>
    <row r="12" spans="1:15" ht="22.9" customHeight="1" x14ac:dyDescent="0.4">
      <c r="A12" s="374" t="s">
        <v>64</v>
      </c>
      <c r="B12" s="10" t="s">
        <v>65</v>
      </c>
      <c r="C12" s="10" t="s">
        <v>66</v>
      </c>
      <c r="D12" s="10" t="s">
        <v>67</v>
      </c>
      <c r="E12" s="10" t="s">
        <v>68</v>
      </c>
      <c r="F12" s="10" t="s">
        <v>69</v>
      </c>
      <c r="G12" s="10"/>
      <c r="H12" s="10"/>
      <c r="I12" s="10">
        <v>20</v>
      </c>
      <c r="J12" s="376">
        <f>SUM(I12:I14)</f>
        <v>60</v>
      </c>
      <c r="K12" s="11">
        <f t="shared" si="0"/>
        <v>0</v>
      </c>
      <c r="M12" s="3"/>
      <c r="N12" s="3"/>
      <c r="O12" s="3"/>
    </row>
    <row r="13" spans="1:15" ht="22.9" customHeight="1" x14ac:dyDescent="0.4">
      <c r="A13" s="375"/>
      <c r="B13" s="10" t="s">
        <v>70</v>
      </c>
      <c r="C13" s="10" t="s">
        <v>71</v>
      </c>
      <c r="D13" s="17" t="s">
        <v>112</v>
      </c>
      <c r="E13" s="17" t="s">
        <v>113</v>
      </c>
      <c r="F13" s="17" t="s">
        <v>114</v>
      </c>
      <c r="G13" s="10"/>
      <c r="H13" s="10"/>
      <c r="I13" s="10">
        <v>20</v>
      </c>
      <c r="J13" s="377"/>
      <c r="K13" s="11">
        <f t="shared" si="0"/>
        <v>0</v>
      </c>
      <c r="M13" s="3"/>
      <c r="N13" s="3"/>
      <c r="O13" s="3"/>
    </row>
    <row r="14" spans="1:15" ht="22.9" customHeight="1" x14ac:dyDescent="0.4">
      <c r="A14" s="375"/>
      <c r="B14" s="17" t="s">
        <v>75</v>
      </c>
      <c r="C14" s="17" t="s">
        <v>71</v>
      </c>
      <c r="D14" s="17" t="s">
        <v>115</v>
      </c>
      <c r="E14" s="17" t="s">
        <v>116</v>
      </c>
      <c r="F14" s="17" t="s">
        <v>104</v>
      </c>
      <c r="G14" s="17"/>
      <c r="H14" s="17"/>
      <c r="I14" s="17">
        <v>20</v>
      </c>
      <c r="J14" s="378"/>
      <c r="K14" s="11">
        <f t="shared" si="0"/>
        <v>0</v>
      </c>
      <c r="M14" s="3"/>
      <c r="N14" s="3"/>
      <c r="O14" s="3"/>
    </row>
    <row r="15" spans="1:15" ht="22.9" customHeight="1" x14ac:dyDescent="0.4">
      <c r="G15" s="4"/>
      <c r="J15" s="14">
        <f>SUM(J4:J12)</f>
        <v>120</v>
      </c>
      <c r="K15" s="11">
        <f>SUM(K4:K14)/10</f>
        <v>0</v>
      </c>
      <c r="M15" s="3"/>
      <c r="N15" s="3"/>
      <c r="O15" s="3"/>
    </row>
    <row r="16" spans="1:15" ht="16" x14ac:dyDescent="0.4">
      <c r="M16" s="3"/>
      <c r="N16" s="3"/>
      <c r="O16" s="3"/>
    </row>
    <row r="17" spans="1:15" ht="16" x14ac:dyDescent="0.4">
      <c r="M17" s="3"/>
      <c r="N17" s="3"/>
      <c r="O17" s="3"/>
    </row>
    <row r="18" spans="1:15" ht="26" x14ac:dyDescent="0.6">
      <c r="A18" s="19" t="s">
        <v>117</v>
      </c>
      <c r="M18" s="3"/>
      <c r="N18" s="3"/>
      <c r="O18" s="3"/>
    </row>
    <row r="19" spans="1:15" ht="16" x14ac:dyDescent="0.4">
      <c r="M19" s="3"/>
      <c r="N19" s="3"/>
      <c r="O19" s="3"/>
    </row>
    <row r="20" spans="1:15" ht="22.9" customHeight="1" x14ac:dyDescent="0.4">
      <c r="A20" s="15" t="s">
        <v>1</v>
      </c>
      <c r="B20" s="16" t="s">
        <v>2</v>
      </c>
      <c r="C20" s="16" t="s">
        <v>3</v>
      </c>
      <c r="D20" s="16" t="s">
        <v>4</v>
      </c>
      <c r="E20" s="16" t="s">
        <v>5</v>
      </c>
      <c r="F20" s="16" t="s">
        <v>6</v>
      </c>
      <c r="G20" s="16" t="s">
        <v>7</v>
      </c>
      <c r="H20" s="16" t="s">
        <v>8</v>
      </c>
      <c r="I20" s="16" t="s">
        <v>9</v>
      </c>
      <c r="J20" s="16" t="s">
        <v>10</v>
      </c>
      <c r="K20" s="16" t="s">
        <v>11</v>
      </c>
      <c r="M20" s="3"/>
      <c r="N20" s="3"/>
      <c r="O20" s="3"/>
    </row>
    <row r="21" spans="1:15" ht="22.9" customHeight="1" x14ac:dyDescent="0.4">
      <c r="A21" s="372" t="s">
        <v>15</v>
      </c>
      <c r="B21" s="5" t="s">
        <v>16</v>
      </c>
      <c r="C21" s="5" t="s">
        <v>17</v>
      </c>
      <c r="D21" s="5" t="s">
        <v>118</v>
      </c>
      <c r="E21" s="5" t="s">
        <v>119</v>
      </c>
      <c r="F21" s="5" t="s">
        <v>108</v>
      </c>
      <c r="G21" s="5"/>
      <c r="H21" s="5"/>
      <c r="I21" s="5">
        <v>4</v>
      </c>
      <c r="J21" s="372">
        <f>SUM(I21:I23)</f>
        <v>25</v>
      </c>
      <c r="K21" s="11">
        <f t="shared" ref="K21:K31" si="1">H21*I21</f>
        <v>0</v>
      </c>
      <c r="M21" s="3"/>
      <c r="N21" s="3"/>
      <c r="O21" s="3"/>
    </row>
    <row r="22" spans="1:15" ht="22.9" customHeight="1" x14ac:dyDescent="0.4">
      <c r="A22" s="372"/>
      <c r="B22" s="5" t="s">
        <v>23</v>
      </c>
      <c r="C22" s="5" t="s">
        <v>24</v>
      </c>
      <c r="D22" s="5" t="s">
        <v>93</v>
      </c>
      <c r="E22" s="5" t="s">
        <v>94</v>
      </c>
      <c r="F22" s="5" t="s">
        <v>95</v>
      </c>
      <c r="G22" s="5"/>
      <c r="H22" s="5"/>
      <c r="I22" s="5">
        <v>12</v>
      </c>
      <c r="J22" s="372"/>
      <c r="K22" s="11">
        <f t="shared" si="1"/>
        <v>0</v>
      </c>
      <c r="M22" s="3"/>
      <c r="N22" s="3"/>
      <c r="O22" s="3"/>
    </row>
    <row r="23" spans="1:15" ht="22.9" customHeight="1" x14ac:dyDescent="0.4">
      <c r="A23" s="372"/>
      <c r="B23" s="5" t="s">
        <v>30</v>
      </c>
      <c r="C23" s="5" t="s">
        <v>31</v>
      </c>
      <c r="D23" s="5" t="s">
        <v>32</v>
      </c>
      <c r="E23" s="5" t="s">
        <v>33</v>
      </c>
      <c r="F23" s="5" t="s">
        <v>34</v>
      </c>
      <c r="G23" s="5"/>
      <c r="H23" s="5"/>
      <c r="I23" s="5">
        <v>9</v>
      </c>
      <c r="J23" s="372"/>
      <c r="K23" s="11">
        <f t="shared" si="1"/>
        <v>0</v>
      </c>
      <c r="M23" s="3"/>
      <c r="N23" s="3"/>
      <c r="O23" s="3"/>
    </row>
    <row r="24" spans="1:15" ht="22.9" customHeight="1" x14ac:dyDescent="0.4">
      <c r="A24" s="373" t="s">
        <v>37</v>
      </c>
      <c r="B24" s="6" t="s">
        <v>38</v>
      </c>
      <c r="C24" s="6" t="s">
        <v>39</v>
      </c>
      <c r="D24" s="6" t="s">
        <v>40</v>
      </c>
      <c r="E24" s="6" t="s">
        <v>41</v>
      </c>
      <c r="F24" s="6" t="s">
        <v>42</v>
      </c>
      <c r="G24" s="6"/>
      <c r="H24" s="6"/>
      <c r="I24" s="6">
        <v>13</v>
      </c>
      <c r="J24" s="373">
        <f>SUM(I24:I27)</f>
        <v>30</v>
      </c>
      <c r="K24" s="11">
        <f t="shared" si="1"/>
        <v>0</v>
      </c>
      <c r="M24" s="3"/>
      <c r="N24" s="3"/>
      <c r="O24" s="3"/>
    </row>
    <row r="25" spans="1:15" ht="22.9" customHeight="1" x14ac:dyDescent="0.4">
      <c r="A25" s="373"/>
      <c r="B25" s="6" t="s">
        <v>45</v>
      </c>
      <c r="C25" s="6" t="s">
        <v>39</v>
      </c>
      <c r="D25" s="6" t="s">
        <v>46</v>
      </c>
      <c r="E25" s="6" t="s">
        <v>47</v>
      </c>
      <c r="F25" s="6" t="s">
        <v>48</v>
      </c>
      <c r="G25" s="6"/>
      <c r="H25" s="6"/>
      <c r="I25" s="6">
        <v>13</v>
      </c>
      <c r="J25" s="373"/>
      <c r="K25" s="11">
        <f t="shared" si="1"/>
        <v>0</v>
      </c>
      <c r="M25" s="3"/>
      <c r="N25" s="3"/>
      <c r="O25" s="3"/>
    </row>
    <row r="26" spans="1:15" ht="22.9" customHeight="1" x14ac:dyDescent="0.4">
      <c r="A26" s="373"/>
      <c r="B26" s="379" t="s">
        <v>49</v>
      </c>
      <c r="C26" s="6" t="s">
        <v>50</v>
      </c>
      <c r="D26" s="6" t="s">
        <v>51</v>
      </c>
      <c r="E26" s="6" t="s">
        <v>52</v>
      </c>
      <c r="F26" s="6" t="s">
        <v>53</v>
      </c>
      <c r="G26" s="6"/>
      <c r="H26" s="6"/>
      <c r="I26" s="6">
        <v>2</v>
      </c>
      <c r="J26" s="373"/>
      <c r="K26" s="11">
        <f t="shared" si="1"/>
        <v>0</v>
      </c>
      <c r="M26" s="3"/>
      <c r="N26" s="3"/>
      <c r="O26" s="3"/>
    </row>
    <row r="27" spans="1:15" ht="22.9" customHeight="1" x14ac:dyDescent="0.4">
      <c r="A27" s="373"/>
      <c r="B27" s="380"/>
      <c r="C27" s="6" t="s">
        <v>54</v>
      </c>
      <c r="D27" s="6" t="s">
        <v>55</v>
      </c>
      <c r="E27" s="6" t="s">
        <v>56</v>
      </c>
      <c r="F27" s="6" t="s">
        <v>57</v>
      </c>
      <c r="G27" s="6"/>
      <c r="H27" s="6"/>
      <c r="I27" s="6">
        <v>2</v>
      </c>
      <c r="J27" s="373"/>
      <c r="K27" s="11">
        <f t="shared" si="1"/>
        <v>0</v>
      </c>
      <c r="M27" s="3"/>
      <c r="N27" s="3"/>
      <c r="O27" s="3"/>
    </row>
    <row r="28" spans="1:15" ht="22.9" customHeight="1" x14ac:dyDescent="0.4">
      <c r="A28" s="7" t="s">
        <v>58</v>
      </c>
      <c r="B28" s="8" t="s">
        <v>59</v>
      </c>
      <c r="C28" s="8" t="s">
        <v>60</v>
      </c>
      <c r="D28" s="8" t="s">
        <v>61</v>
      </c>
      <c r="E28" s="8" t="s">
        <v>62</v>
      </c>
      <c r="F28" s="8" t="s">
        <v>63</v>
      </c>
      <c r="G28" s="13"/>
      <c r="H28" s="13"/>
      <c r="I28" s="13">
        <v>5</v>
      </c>
      <c r="J28" s="7">
        <v>5</v>
      </c>
      <c r="K28" s="11">
        <f t="shared" si="1"/>
        <v>0</v>
      </c>
      <c r="M28" s="3"/>
      <c r="N28" s="3"/>
      <c r="O28" s="3"/>
    </row>
    <row r="29" spans="1:15" ht="22.9" customHeight="1" x14ac:dyDescent="0.4">
      <c r="A29" s="374" t="s">
        <v>64</v>
      </c>
      <c r="B29" s="10" t="s">
        <v>65</v>
      </c>
      <c r="C29" s="10" t="s">
        <v>66</v>
      </c>
      <c r="D29" s="10" t="s">
        <v>67</v>
      </c>
      <c r="E29" s="10" t="s">
        <v>68</v>
      </c>
      <c r="F29" s="10" t="s">
        <v>69</v>
      </c>
      <c r="G29" s="10"/>
      <c r="H29" s="10"/>
      <c r="I29" s="10">
        <v>20</v>
      </c>
      <c r="J29" s="376">
        <f>SUM(I29:I31)</f>
        <v>60</v>
      </c>
      <c r="K29" s="11">
        <f t="shared" si="1"/>
        <v>0</v>
      </c>
      <c r="M29" s="3"/>
      <c r="N29" s="3"/>
      <c r="O29" s="3"/>
    </row>
    <row r="30" spans="1:15" ht="22.9" customHeight="1" x14ac:dyDescent="0.4">
      <c r="A30" s="375"/>
      <c r="B30" s="10" t="s">
        <v>70</v>
      </c>
      <c r="C30" s="10" t="s">
        <v>71</v>
      </c>
      <c r="D30" s="17" t="s">
        <v>120</v>
      </c>
      <c r="E30" s="17" t="s">
        <v>121</v>
      </c>
      <c r="F30" s="17" t="s">
        <v>122</v>
      </c>
      <c r="G30" s="10"/>
      <c r="H30" s="10"/>
      <c r="I30" s="10">
        <v>20</v>
      </c>
      <c r="J30" s="377"/>
      <c r="K30" s="11">
        <f t="shared" si="1"/>
        <v>0</v>
      </c>
      <c r="M30" s="3"/>
      <c r="N30" s="3"/>
      <c r="O30" s="3"/>
    </row>
    <row r="31" spans="1:15" ht="22.9" customHeight="1" x14ac:dyDescent="0.4">
      <c r="A31" s="375"/>
      <c r="B31" s="17" t="s">
        <v>75</v>
      </c>
      <c r="C31" s="17" t="s">
        <v>71</v>
      </c>
      <c r="D31" s="17" t="s">
        <v>123</v>
      </c>
      <c r="E31" s="17" t="s">
        <v>124</v>
      </c>
      <c r="F31" s="17" t="s">
        <v>125</v>
      </c>
      <c r="G31" s="17"/>
      <c r="H31" s="17"/>
      <c r="I31" s="17">
        <v>20</v>
      </c>
      <c r="J31" s="378"/>
      <c r="K31" s="11">
        <f t="shared" si="1"/>
        <v>0</v>
      </c>
      <c r="M31" s="3"/>
      <c r="N31" s="3"/>
      <c r="O31" s="3"/>
    </row>
    <row r="32" spans="1:15" ht="22.9" customHeight="1" x14ac:dyDescent="0.4">
      <c r="G32" s="4"/>
      <c r="J32" s="14">
        <f>SUM(J21:J29)</f>
        <v>120</v>
      </c>
      <c r="K32" s="12">
        <f>SUM(K21:K31)/10</f>
        <v>0</v>
      </c>
      <c r="M32" s="3"/>
      <c r="N32" s="3"/>
      <c r="O32" s="3"/>
    </row>
  </sheetData>
  <mergeCells count="14">
    <mergeCell ref="A4:A6"/>
    <mergeCell ref="J4:J6"/>
    <mergeCell ref="A7:A10"/>
    <mergeCell ref="J7:J10"/>
    <mergeCell ref="A12:A14"/>
    <mergeCell ref="J12:J14"/>
    <mergeCell ref="B9:B10"/>
    <mergeCell ref="A21:A23"/>
    <mergeCell ref="J21:J23"/>
    <mergeCell ref="A24:A27"/>
    <mergeCell ref="J24:J27"/>
    <mergeCell ref="A29:A31"/>
    <mergeCell ref="J29:J31"/>
    <mergeCell ref="B26:B27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EF6CD-1D29-44E8-A3E3-1ED99EEEE835}">
  <dimension ref="A1:P14"/>
  <sheetViews>
    <sheetView workbookViewId="0">
      <selection activeCell="A3" sqref="A3:K13"/>
    </sheetView>
  </sheetViews>
  <sheetFormatPr defaultColWidth="11.453125" defaultRowHeight="16" x14ac:dyDescent="0.4"/>
  <cols>
    <col min="1" max="1" width="13.26953125" bestFit="1" customWidth="1"/>
    <col min="2" max="2" width="32.81640625" customWidth="1"/>
    <col min="3" max="3" width="19.26953125" customWidth="1"/>
    <col min="4" max="4" width="13.26953125" bestFit="1" customWidth="1"/>
    <col min="5" max="5" width="28.26953125" customWidth="1"/>
    <col min="6" max="7" width="16.26953125" bestFit="1" customWidth="1"/>
    <col min="8" max="9" width="9.1796875"/>
    <col min="10" max="10" width="20" bestFit="1" customWidth="1"/>
    <col min="11" max="11" width="20" customWidth="1"/>
    <col min="12" max="12" width="9.1796875"/>
    <col min="13" max="13" width="12.7265625" style="3" bestFit="1" customWidth="1"/>
    <col min="14" max="14" width="13.1796875" style="3" bestFit="1" customWidth="1"/>
    <col min="15" max="15" width="25.26953125" style="3" bestFit="1" customWidth="1"/>
    <col min="16" max="16" width="9.1796875" style="3"/>
  </cols>
  <sheetData>
    <row r="1" spans="1:15" ht="26" x14ac:dyDescent="0.6">
      <c r="A1" s="19" t="s">
        <v>126</v>
      </c>
    </row>
    <row r="3" spans="1:15" ht="22.9" customHeight="1" x14ac:dyDescent="0.4">
      <c r="A3" s="15" t="s">
        <v>1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6</v>
      </c>
      <c r="G3" s="16" t="s">
        <v>7</v>
      </c>
      <c r="H3" s="16" t="s">
        <v>8</v>
      </c>
      <c r="I3" s="16" t="s">
        <v>9</v>
      </c>
      <c r="J3" s="16" t="s">
        <v>10</v>
      </c>
      <c r="K3" s="16" t="s">
        <v>11</v>
      </c>
      <c r="M3" s="1" t="s">
        <v>12</v>
      </c>
      <c r="N3" s="1" t="s">
        <v>13</v>
      </c>
      <c r="O3" s="1" t="s">
        <v>14</v>
      </c>
    </row>
    <row r="4" spans="1:15" ht="22.9" customHeight="1" x14ac:dyDescent="0.4">
      <c r="A4" s="372" t="s">
        <v>15</v>
      </c>
      <c r="B4" s="5" t="s">
        <v>16</v>
      </c>
      <c r="C4" s="5" t="s">
        <v>17</v>
      </c>
      <c r="D4" s="5" t="s">
        <v>127</v>
      </c>
      <c r="E4" s="5" t="s">
        <v>128</v>
      </c>
      <c r="F4" s="5" t="s">
        <v>129</v>
      </c>
      <c r="G4" s="5"/>
      <c r="H4" s="5"/>
      <c r="I4" s="5">
        <v>10</v>
      </c>
      <c r="J4" s="372">
        <f>SUM(I4:I6)</f>
        <v>45</v>
      </c>
      <c r="K4" s="11">
        <f>H4*I4</f>
        <v>0</v>
      </c>
      <c r="M4" s="1" t="s">
        <v>28</v>
      </c>
      <c r="N4" s="1" t="s">
        <v>29</v>
      </c>
      <c r="O4" s="2"/>
    </row>
    <row r="5" spans="1:15" ht="22.9" customHeight="1" x14ac:dyDescent="0.4">
      <c r="A5" s="372"/>
      <c r="B5" s="5" t="s">
        <v>23</v>
      </c>
      <c r="C5" s="5" t="s">
        <v>24</v>
      </c>
      <c r="D5" s="5" t="s">
        <v>130</v>
      </c>
      <c r="E5" s="5" t="s">
        <v>131</v>
      </c>
      <c r="F5" s="5" t="s">
        <v>132</v>
      </c>
      <c r="G5" s="5"/>
      <c r="H5" s="5"/>
      <c r="I5" s="5">
        <v>20</v>
      </c>
      <c r="J5" s="372"/>
      <c r="K5" s="11">
        <f t="shared" ref="K5:K12" si="0">H5*I5</f>
        <v>0</v>
      </c>
      <c r="M5" s="1" t="s">
        <v>35</v>
      </c>
      <c r="N5" s="1" t="s">
        <v>36</v>
      </c>
      <c r="O5" s="2"/>
    </row>
    <row r="6" spans="1:15" ht="22.9" customHeight="1" x14ac:dyDescent="0.4">
      <c r="A6" s="372"/>
      <c r="B6" s="5" t="s">
        <v>30</v>
      </c>
      <c r="C6" s="5" t="s">
        <v>31</v>
      </c>
      <c r="D6" s="5" t="s">
        <v>133</v>
      </c>
      <c r="E6" s="5" t="s">
        <v>134</v>
      </c>
      <c r="F6" s="5" t="s">
        <v>135</v>
      </c>
      <c r="G6" s="5"/>
      <c r="H6" s="5"/>
      <c r="I6" s="5">
        <v>15</v>
      </c>
      <c r="J6" s="372"/>
      <c r="K6" s="11">
        <f t="shared" si="0"/>
        <v>0</v>
      </c>
      <c r="M6" s="1" t="s">
        <v>43</v>
      </c>
      <c r="N6" s="1" t="s">
        <v>44</v>
      </c>
      <c r="O6" s="2"/>
    </row>
    <row r="7" spans="1:15" ht="22.9" customHeight="1" x14ac:dyDescent="0.4">
      <c r="A7" s="373" t="s">
        <v>37</v>
      </c>
      <c r="B7" s="6" t="s">
        <v>38</v>
      </c>
      <c r="C7" s="6" t="s">
        <v>39</v>
      </c>
      <c r="D7" s="6" t="s">
        <v>40</v>
      </c>
      <c r="E7" s="6" t="s">
        <v>41</v>
      </c>
      <c r="F7" s="6" t="s">
        <v>42</v>
      </c>
      <c r="G7" s="6"/>
      <c r="H7" s="6"/>
      <c r="I7" s="6">
        <v>20</v>
      </c>
      <c r="J7" s="373">
        <f>SUM(I7:I10)</f>
        <v>45</v>
      </c>
      <c r="K7" s="11">
        <f t="shared" si="0"/>
        <v>0</v>
      </c>
    </row>
    <row r="8" spans="1:15" ht="22.9" customHeight="1" x14ac:dyDescent="0.4">
      <c r="A8" s="373"/>
      <c r="B8" s="6" t="s">
        <v>45</v>
      </c>
      <c r="C8" s="6" t="s">
        <v>39</v>
      </c>
      <c r="D8" s="6" t="s">
        <v>46</v>
      </c>
      <c r="E8" s="6" t="s">
        <v>47</v>
      </c>
      <c r="F8" s="6" t="s">
        <v>48</v>
      </c>
      <c r="G8" s="6"/>
      <c r="H8" s="6"/>
      <c r="I8" s="6">
        <v>20</v>
      </c>
      <c r="J8" s="373"/>
      <c r="K8" s="11">
        <f t="shared" si="0"/>
        <v>0</v>
      </c>
    </row>
    <row r="9" spans="1:15" ht="22.9" customHeight="1" x14ac:dyDescent="0.4">
      <c r="A9" s="373"/>
      <c r="B9" s="379" t="s">
        <v>49</v>
      </c>
      <c r="C9" s="6" t="s">
        <v>50</v>
      </c>
      <c r="D9" s="6" t="s">
        <v>51</v>
      </c>
      <c r="E9" s="6" t="s">
        <v>52</v>
      </c>
      <c r="F9" s="6" t="s">
        <v>53</v>
      </c>
      <c r="G9" s="6"/>
      <c r="H9" s="6"/>
      <c r="I9" s="6">
        <v>2</v>
      </c>
      <c r="J9" s="373"/>
      <c r="K9" s="11">
        <f t="shared" si="0"/>
        <v>0</v>
      </c>
    </row>
    <row r="10" spans="1:15" ht="22.9" customHeight="1" x14ac:dyDescent="0.4">
      <c r="A10" s="373"/>
      <c r="B10" s="380"/>
      <c r="C10" s="6" t="s">
        <v>54</v>
      </c>
      <c r="D10" s="6" t="s">
        <v>55</v>
      </c>
      <c r="E10" s="6" t="s">
        <v>56</v>
      </c>
      <c r="F10" s="6" t="s">
        <v>57</v>
      </c>
      <c r="G10" s="6"/>
      <c r="H10" s="6"/>
      <c r="I10" s="6">
        <v>3</v>
      </c>
      <c r="J10" s="373"/>
      <c r="K10" s="11">
        <f t="shared" si="0"/>
        <v>0</v>
      </c>
    </row>
    <row r="11" spans="1:15" ht="22.9" customHeight="1" x14ac:dyDescent="0.4">
      <c r="A11" s="7" t="s">
        <v>58</v>
      </c>
      <c r="B11" s="8" t="s">
        <v>59</v>
      </c>
      <c r="C11" s="8" t="s">
        <v>60</v>
      </c>
      <c r="D11" s="8" t="s">
        <v>136</v>
      </c>
      <c r="E11" s="8" t="s">
        <v>137</v>
      </c>
      <c r="F11" s="8" t="s">
        <v>138</v>
      </c>
      <c r="G11" s="13"/>
      <c r="H11" s="13"/>
      <c r="I11" s="13">
        <v>5</v>
      </c>
      <c r="J11" s="7">
        <v>5</v>
      </c>
      <c r="K11" s="11">
        <f t="shared" si="0"/>
        <v>0</v>
      </c>
    </row>
    <row r="12" spans="1:15" ht="22.9" customHeight="1" x14ac:dyDescent="0.4">
      <c r="A12" s="9" t="s">
        <v>66</v>
      </c>
      <c r="B12" s="10" t="s">
        <v>65</v>
      </c>
      <c r="C12" s="10" t="s">
        <v>66</v>
      </c>
      <c r="D12" s="10" t="s">
        <v>139</v>
      </c>
      <c r="E12" s="10" t="s">
        <v>140</v>
      </c>
      <c r="F12" s="10" t="s">
        <v>141</v>
      </c>
      <c r="G12" s="10"/>
      <c r="H12" s="10"/>
      <c r="I12" s="10">
        <v>25</v>
      </c>
      <c r="J12" s="9">
        <v>25</v>
      </c>
      <c r="K12" s="11">
        <f t="shared" si="0"/>
        <v>0</v>
      </c>
    </row>
    <row r="13" spans="1:15" ht="22.9" customHeight="1" x14ac:dyDescent="0.4">
      <c r="J13" s="14">
        <f>SUM(J4:J12)</f>
        <v>120</v>
      </c>
      <c r="K13" s="11">
        <f>SUM(K4:K12)/10</f>
        <v>0</v>
      </c>
    </row>
    <row r="14" spans="1:15" x14ac:dyDescent="0.4">
      <c r="G14" s="4"/>
    </row>
  </sheetData>
  <mergeCells count="5">
    <mergeCell ref="A4:A6"/>
    <mergeCell ref="J4:J6"/>
    <mergeCell ref="A7:A10"/>
    <mergeCell ref="J7:J10"/>
    <mergeCell ref="B9:B10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F5CA7-2227-49CC-A880-90B99A3B39A1}">
  <dimension ref="A1:P14"/>
  <sheetViews>
    <sheetView workbookViewId="0"/>
  </sheetViews>
  <sheetFormatPr defaultColWidth="11.453125" defaultRowHeight="16" x14ac:dyDescent="0.4"/>
  <cols>
    <col min="1" max="1" width="13.26953125" bestFit="1" customWidth="1"/>
    <col min="2" max="2" width="32.81640625" customWidth="1"/>
    <col min="3" max="3" width="19.26953125" customWidth="1"/>
    <col min="4" max="4" width="13.26953125" bestFit="1" customWidth="1"/>
    <col min="5" max="5" width="28.26953125" customWidth="1"/>
    <col min="6" max="7" width="16.26953125" bestFit="1" customWidth="1"/>
    <col min="8" max="9" width="9.1796875"/>
    <col min="10" max="10" width="20" bestFit="1" customWidth="1"/>
    <col min="11" max="11" width="20" customWidth="1"/>
    <col min="12" max="12" width="9.1796875"/>
    <col min="13" max="13" width="12.7265625" style="3" bestFit="1" customWidth="1"/>
    <col min="14" max="14" width="13.1796875" style="3" bestFit="1" customWidth="1"/>
    <col min="15" max="15" width="25.26953125" style="3" bestFit="1" customWidth="1"/>
    <col min="16" max="16" width="9.1796875" style="3"/>
  </cols>
  <sheetData>
    <row r="1" spans="1:15" ht="26" x14ac:dyDescent="0.6">
      <c r="A1" s="19" t="s">
        <v>142</v>
      </c>
    </row>
    <row r="3" spans="1:15" ht="22.9" customHeight="1" x14ac:dyDescent="0.4">
      <c r="A3" s="15" t="s">
        <v>1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6</v>
      </c>
      <c r="G3" s="16" t="s">
        <v>7</v>
      </c>
      <c r="H3" s="16" t="s">
        <v>8</v>
      </c>
      <c r="I3" s="16" t="s">
        <v>9</v>
      </c>
      <c r="J3" s="16" t="s">
        <v>10</v>
      </c>
      <c r="K3" s="16" t="s">
        <v>11</v>
      </c>
      <c r="M3" s="1" t="s">
        <v>12</v>
      </c>
      <c r="N3" s="1" t="s">
        <v>13</v>
      </c>
      <c r="O3" s="1" t="s">
        <v>14</v>
      </c>
    </row>
    <row r="4" spans="1:15" ht="22.9" customHeight="1" x14ac:dyDescent="0.4">
      <c r="A4" s="372" t="s">
        <v>15</v>
      </c>
      <c r="B4" s="5" t="s">
        <v>16</v>
      </c>
      <c r="C4" s="5" t="s">
        <v>17</v>
      </c>
      <c r="D4" s="5" t="s">
        <v>143</v>
      </c>
      <c r="E4" s="5" t="s">
        <v>144</v>
      </c>
      <c r="F4" s="5" t="s">
        <v>145</v>
      </c>
      <c r="G4" s="5"/>
      <c r="H4" s="5"/>
      <c r="I4" s="5">
        <v>10</v>
      </c>
      <c r="J4" s="372">
        <f>SUM(I4:I6)</f>
        <v>45</v>
      </c>
      <c r="K4" s="11">
        <f>H4*I4</f>
        <v>0</v>
      </c>
      <c r="M4" s="1" t="s">
        <v>28</v>
      </c>
      <c r="N4" s="1" t="s">
        <v>29</v>
      </c>
      <c r="O4" s="2"/>
    </row>
    <row r="5" spans="1:15" ht="22.9" customHeight="1" x14ac:dyDescent="0.4">
      <c r="A5" s="372"/>
      <c r="B5" s="5" t="s">
        <v>23</v>
      </c>
      <c r="C5" s="5" t="s">
        <v>24</v>
      </c>
      <c r="D5" s="5" t="s">
        <v>146</v>
      </c>
      <c r="E5" s="5" t="s">
        <v>147</v>
      </c>
      <c r="F5" s="5" t="s">
        <v>148</v>
      </c>
      <c r="G5" s="5"/>
      <c r="H5" s="5"/>
      <c r="I5" s="5">
        <v>20</v>
      </c>
      <c r="J5" s="372"/>
      <c r="K5" s="11">
        <f t="shared" ref="K5:K12" si="0">H5*I5</f>
        <v>0</v>
      </c>
      <c r="M5" s="1" t="s">
        <v>35</v>
      </c>
      <c r="N5" s="1" t="s">
        <v>36</v>
      </c>
      <c r="O5" s="2"/>
    </row>
    <row r="6" spans="1:15" ht="22.9" customHeight="1" x14ac:dyDescent="0.4">
      <c r="A6" s="372"/>
      <c r="B6" s="5" t="s">
        <v>30</v>
      </c>
      <c r="C6" s="5" t="s">
        <v>31</v>
      </c>
      <c r="D6" s="5" t="s">
        <v>133</v>
      </c>
      <c r="E6" s="5" t="s">
        <v>134</v>
      </c>
      <c r="F6" s="5" t="s">
        <v>135</v>
      </c>
      <c r="G6" s="5"/>
      <c r="H6" s="5"/>
      <c r="I6" s="5">
        <v>15</v>
      </c>
      <c r="J6" s="372"/>
      <c r="K6" s="11">
        <f t="shared" si="0"/>
        <v>0</v>
      </c>
      <c r="M6" s="1" t="s">
        <v>43</v>
      </c>
      <c r="N6" s="1" t="s">
        <v>44</v>
      </c>
      <c r="O6" s="2"/>
    </row>
    <row r="7" spans="1:15" ht="22.9" customHeight="1" x14ac:dyDescent="0.4">
      <c r="A7" s="373" t="s">
        <v>37</v>
      </c>
      <c r="B7" s="6" t="s">
        <v>38</v>
      </c>
      <c r="C7" s="6" t="s">
        <v>39</v>
      </c>
      <c r="D7" s="6" t="s">
        <v>40</v>
      </c>
      <c r="E7" s="6" t="s">
        <v>41</v>
      </c>
      <c r="F7" s="6" t="s">
        <v>42</v>
      </c>
      <c r="G7" s="6"/>
      <c r="H7" s="6"/>
      <c r="I7" s="6">
        <v>20</v>
      </c>
      <c r="J7" s="373">
        <f>SUM(I7:I10)</f>
        <v>45</v>
      </c>
      <c r="K7" s="11">
        <f t="shared" si="0"/>
        <v>0</v>
      </c>
    </row>
    <row r="8" spans="1:15" ht="22.9" customHeight="1" x14ac:dyDescent="0.4">
      <c r="A8" s="373"/>
      <c r="B8" s="6" t="s">
        <v>45</v>
      </c>
      <c r="C8" s="6" t="s">
        <v>39</v>
      </c>
      <c r="D8" s="6" t="s">
        <v>46</v>
      </c>
      <c r="E8" s="6" t="s">
        <v>47</v>
      </c>
      <c r="F8" s="6" t="s">
        <v>48</v>
      </c>
      <c r="G8" s="6"/>
      <c r="H8" s="6"/>
      <c r="I8" s="6">
        <v>20</v>
      </c>
      <c r="J8" s="373"/>
      <c r="K8" s="11">
        <f t="shared" si="0"/>
        <v>0</v>
      </c>
    </row>
    <row r="9" spans="1:15" ht="22.9" customHeight="1" x14ac:dyDescent="0.4">
      <c r="A9" s="373"/>
      <c r="B9" s="379" t="s">
        <v>49</v>
      </c>
      <c r="C9" s="6" t="s">
        <v>50</v>
      </c>
      <c r="D9" s="6" t="s">
        <v>51</v>
      </c>
      <c r="E9" s="6" t="s">
        <v>52</v>
      </c>
      <c r="F9" s="6" t="s">
        <v>53</v>
      </c>
      <c r="G9" s="6"/>
      <c r="H9" s="6"/>
      <c r="I9" s="6">
        <v>2</v>
      </c>
      <c r="J9" s="373"/>
      <c r="K9" s="11">
        <f t="shared" si="0"/>
        <v>0</v>
      </c>
    </row>
    <row r="10" spans="1:15" ht="22.9" customHeight="1" x14ac:dyDescent="0.4">
      <c r="A10" s="373"/>
      <c r="B10" s="380"/>
      <c r="C10" s="6" t="s">
        <v>54</v>
      </c>
      <c r="D10" s="6" t="s">
        <v>55</v>
      </c>
      <c r="E10" s="6" t="s">
        <v>56</v>
      </c>
      <c r="F10" s="6" t="s">
        <v>57</v>
      </c>
      <c r="G10" s="6"/>
      <c r="H10" s="6"/>
      <c r="I10" s="6">
        <v>3</v>
      </c>
      <c r="J10" s="373"/>
      <c r="K10" s="11">
        <f t="shared" si="0"/>
        <v>0</v>
      </c>
    </row>
    <row r="11" spans="1:15" ht="22.9" customHeight="1" x14ac:dyDescent="0.4">
      <c r="A11" s="7" t="s">
        <v>58</v>
      </c>
      <c r="B11" s="8" t="s">
        <v>59</v>
      </c>
      <c r="C11" s="8" t="s">
        <v>60</v>
      </c>
      <c r="D11" s="8" t="s">
        <v>149</v>
      </c>
      <c r="E11" s="8" t="s">
        <v>150</v>
      </c>
      <c r="F11" s="8" t="s">
        <v>151</v>
      </c>
      <c r="G11" s="13"/>
      <c r="H11" s="13"/>
      <c r="I11" s="13">
        <v>5</v>
      </c>
      <c r="J11" s="7">
        <v>5</v>
      </c>
      <c r="K11" s="11">
        <f t="shared" si="0"/>
        <v>0</v>
      </c>
    </row>
    <row r="12" spans="1:15" ht="22.9" customHeight="1" x14ac:dyDescent="0.4">
      <c r="A12" s="9" t="s">
        <v>66</v>
      </c>
      <c r="B12" s="10" t="s">
        <v>65</v>
      </c>
      <c r="C12" s="10" t="s">
        <v>66</v>
      </c>
      <c r="D12" s="10" t="s">
        <v>139</v>
      </c>
      <c r="E12" s="10" t="s">
        <v>140</v>
      </c>
      <c r="F12" s="10" t="s">
        <v>141</v>
      </c>
      <c r="G12" s="10"/>
      <c r="H12" s="10"/>
      <c r="I12" s="10">
        <v>25</v>
      </c>
      <c r="J12" s="9">
        <v>25</v>
      </c>
      <c r="K12" s="11">
        <f t="shared" si="0"/>
        <v>0</v>
      </c>
    </row>
    <row r="13" spans="1:15" ht="22.9" customHeight="1" x14ac:dyDescent="0.4">
      <c r="J13" s="14">
        <f>SUM(J4:J12)</f>
        <v>120</v>
      </c>
      <c r="K13" s="11">
        <f>SUM(K4:K12)/10</f>
        <v>0</v>
      </c>
    </row>
    <row r="14" spans="1:15" x14ac:dyDescent="0.4">
      <c r="G14" s="4"/>
    </row>
  </sheetData>
  <mergeCells count="5">
    <mergeCell ref="A4:A6"/>
    <mergeCell ref="J4:J6"/>
    <mergeCell ref="A7:A10"/>
    <mergeCell ref="J7:J10"/>
    <mergeCell ref="B9:B10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99179-9486-4FE3-B328-5112829B9BA4}">
  <dimension ref="A1:AP154"/>
  <sheetViews>
    <sheetView topLeftCell="G9" workbookViewId="0">
      <selection activeCell="AG9" sqref="AG9"/>
    </sheetView>
  </sheetViews>
  <sheetFormatPr defaultColWidth="11.453125" defaultRowHeight="16" x14ac:dyDescent="0.4"/>
  <cols>
    <col min="1" max="1" width="13.7265625" style="21" customWidth="1"/>
    <col min="2" max="2" width="25.54296875" style="21" customWidth="1"/>
    <col min="3" max="3" width="25.26953125" style="21" customWidth="1"/>
    <col min="4" max="4" width="11" style="21" bestFit="1" customWidth="1"/>
    <col min="5" max="5" width="15.26953125" style="21" customWidth="1"/>
    <col min="6" max="6" width="20.26953125" style="22" customWidth="1"/>
    <col min="7" max="7" width="15.54296875" style="21" customWidth="1"/>
    <col min="8" max="8" width="20.26953125" style="21" customWidth="1"/>
    <col min="9" max="9" width="26" style="21" customWidth="1"/>
    <col min="10" max="10" width="31.453125" style="23" customWidth="1"/>
    <col min="11" max="11" width="28.81640625" style="23" customWidth="1"/>
    <col min="12" max="12" width="22.1796875" style="24" customWidth="1"/>
    <col min="13" max="13" width="37.81640625" style="24" customWidth="1"/>
    <col min="14" max="14" width="34.7265625" style="25" customWidth="1"/>
    <col min="15" max="15" width="26.81640625" style="24" bestFit="1" customWidth="1"/>
    <col min="16" max="16" width="29.81640625" style="24" customWidth="1"/>
    <col min="17" max="17" width="21.81640625" style="21" customWidth="1"/>
    <col min="18" max="18" width="26.54296875" style="21" customWidth="1"/>
    <col min="19" max="19" width="18.54296875" style="21" customWidth="1"/>
    <col min="20" max="20" width="16.81640625" style="21" customWidth="1"/>
    <col min="21" max="21" width="22.1796875" style="21" customWidth="1"/>
    <col min="22" max="22" width="19.54296875" style="21" customWidth="1"/>
    <col min="23" max="23" width="19.26953125" style="21" customWidth="1"/>
    <col min="24" max="24" width="22.54296875" style="21" customWidth="1"/>
    <col min="25" max="25" width="19.7265625" style="21" hidden="1" customWidth="1"/>
    <col min="26" max="26" width="14.54296875" style="21" hidden="1" customWidth="1"/>
    <col min="27" max="27" width="18.7265625" style="21" hidden="1" customWidth="1"/>
    <col min="28" max="28" width="15.26953125" style="26" hidden="1" customWidth="1"/>
    <col min="29" max="29" width="20.81640625" style="26" customWidth="1"/>
    <col min="30" max="32" width="35.26953125" style="26" customWidth="1"/>
    <col min="33" max="33" width="26.7265625" style="23" customWidth="1"/>
    <col min="34" max="34" width="9.453125" style="23" bestFit="1" customWidth="1"/>
    <col min="35" max="35" width="11.54296875" style="23"/>
    <col min="36" max="36" width="11.54296875" style="27"/>
    <col min="37" max="37" width="11.54296875" style="23"/>
    <col min="38" max="38" width="11.81640625" style="27" customWidth="1"/>
    <col min="39" max="39" width="11.54296875" style="27"/>
    <col min="40" max="40" width="14.54296875" style="27" customWidth="1"/>
    <col min="41" max="41" width="20.54296875" style="27" customWidth="1"/>
    <col min="42" max="42" width="24" style="27" customWidth="1"/>
  </cols>
  <sheetData>
    <row r="1" spans="1:42" ht="26" x14ac:dyDescent="0.6">
      <c r="A1" s="20" t="s">
        <v>152</v>
      </c>
    </row>
    <row r="3" spans="1:42" x14ac:dyDescent="0.35">
      <c r="A3" s="381" t="s">
        <v>153</v>
      </c>
      <c r="B3" s="381"/>
      <c r="C3" s="381"/>
      <c r="D3" s="381"/>
      <c r="E3" s="381"/>
      <c r="F3" s="381"/>
      <c r="G3" s="381"/>
      <c r="H3" s="381"/>
      <c r="I3" s="381"/>
      <c r="J3" s="381"/>
      <c r="K3" s="381"/>
      <c r="L3" s="381"/>
      <c r="M3" s="381"/>
      <c r="N3" s="381"/>
      <c r="O3" s="381"/>
      <c r="P3" s="381"/>
      <c r="Q3" s="381"/>
      <c r="R3" s="381"/>
      <c r="S3" s="381"/>
      <c r="T3" s="381"/>
      <c r="U3" s="381"/>
      <c r="V3" s="381"/>
      <c r="W3" s="381"/>
      <c r="X3" s="381"/>
      <c r="Y3" s="381"/>
      <c r="Z3" s="381"/>
      <c r="AA3" s="381"/>
      <c r="AB3" s="28"/>
      <c r="AC3" s="28"/>
      <c r="AD3" s="28"/>
      <c r="AE3" s="28"/>
      <c r="AF3" s="386" t="s">
        <v>154</v>
      </c>
      <c r="AG3" s="382" t="s">
        <v>155</v>
      </c>
      <c r="AH3" s="382"/>
      <c r="AI3" s="382"/>
      <c r="AJ3" s="382"/>
      <c r="AK3" s="382"/>
      <c r="AL3" s="382"/>
      <c r="AM3" s="382"/>
      <c r="AN3" s="382"/>
      <c r="AO3" s="382"/>
      <c r="AP3" s="382"/>
    </row>
    <row r="4" spans="1:42" x14ac:dyDescent="0.4">
      <c r="A4" s="383"/>
      <c r="B4" s="383"/>
      <c r="C4" s="383"/>
      <c r="D4" s="383"/>
      <c r="E4" s="383"/>
      <c r="F4" s="383"/>
      <c r="G4" s="383"/>
      <c r="H4" s="383"/>
      <c r="I4" s="383"/>
      <c r="J4" s="383"/>
      <c r="K4" s="383"/>
      <c r="L4" s="383"/>
      <c r="M4" s="383"/>
      <c r="N4" s="29"/>
      <c r="O4" s="30"/>
      <c r="P4" s="30"/>
      <c r="Q4" s="384" t="s">
        <v>156</v>
      </c>
      <c r="R4" s="384"/>
      <c r="S4" s="384"/>
      <c r="T4" s="384"/>
      <c r="U4" s="384"/>
      <c r="V4" s="384"/>
      <c r="W4" s="384"/>
      <c r="X4" s="384"/>
      <c r="Y4" s="385" t="s">
        <v>157</v>
      </c>
      <c r="Z4" s="385"/>
      <c r="AA4" s="385"/>
      <c r="AB4" s="31"/>
      <c r="AC4" s="31"/>
      <c r="AD4" s="31"/>
      <c r="AE4" s="31"/>
      <c r="AF4" s="386"/>
      <c r="AG4" s="382"/>
      <c r="AH4" s="382"/>
      <c r="AI4" s="382"/>
      <c r="AJ4" s="382"/>
      <c r="AK4" s="382"/>
      <c r="AL4" s="382"/>
      <c r="AM4" s="382"/>
      <c r="AN4" s="382"/>
      <c r="AO4" s="382"/>
      <c r="AP4" s="382"/>
    </row>
    <row r="5" spans="1:42" ht="64" x14ac:dyDescent="0.35">
      <c r="A5" s="32" t="s">
        <v>158</v>
      </c>
      <c r="B5" s="32" t="s">
        <v>159</v>
      </c>
      <c r="C5" s="32" t="s">
        <v>160</v>
      </c>
      <c r="D5" s="32" t="s">
        <v>161</v>
      </c>
      <c r="E5" s="32" t="s">
        <v>162</v>
      </c>
      <c r="F5" s="33" t="s">
        <v>163</v>
      </c>
      <c r="G5" s="32" t="s">
        <v>164</v>
      </c>
      <c r="H5" s="32" t="s">
        <v>165</v>
      </c>
      <c r="I5" s="32" t="s">
        <v>166</v>
      </c>
      <c r="J5" s="32" t="s">
        <v>167</v>
      </c>
      <c r="K5" s="32" t="s">
        <v>168</v>
      </c>
      <c r="L5" s="34" t="s">
        <v>169</v>
      </c>
      <c r="M5" s="34" t="s">
        <v>170</v>
      </c>
      <c r="N5" s="35" t="s">
        <v>171</v>
      </c>
      <c r="O5" s="34" t="s">
        <v>172</v>
      </c>
      <c r="P5" s="36" t="s">
        <v>173</v>
      </c>
      <c r="Q5" s="32" t="s">
        <v>174</v>
      </c>
      <c r="R5" s="32" t="s">
        <v>175</v>
      </c>
      <c r="S5" s="32" t="s">
        <v>176</v>
      </c>
      <c r="T5" s="32" t="s">
        <v>177</v>
      </c>
      <c r="U5" s="32" t="s">
        <v>178</v>
      </c>
      <c r="V5" s="32" t="s">
        <v>179</v>
      </c>
      <c r="W5" s="37" t="s">
        <v>180</v>
      </c>
      <c r="X5" s="37" t="s">
        <v>181</v>
      </c>
      <c r="Y5" s="32" t="s">
        <v>182</v>
      </c>
      <c r="Z5" s="32" t="s">
        <v>183</v>
      </c>
      <c r="AA5" s="32" t="s">
        <v>184</v>
      </c>
      <c r="AB5" s="38" t="s">
        <v>185</v>
      </c>
      <c r="AC5" s="38" t="s">
        <v>186</v>
      </c>
      <c r="AD5" s="38" t="s">
        <v>187</v>
      </c>
      <c r="AE5" s="38" t="s">
        <v>188</v>
      </c>
      <c r="AF5" s="371" t="s">
        <v>189</v>
      </c>
      <c r="AG5" s="39" t="s">
        <v>190</v>
      </c>
      <c r="AH5" s="39" t="s">
        <v>191</v>
      </c>
      <c r="AI5" s="39" t="s">
        <v>23</v>
      </c>
      <c r="AJ5" s="40" t="s">
        <v>192</v>
      </c>
      <c r="AK5" s="39" t="s">
        <v>193</v>
      </c>
      <c r="AL5" s="40" t="s">
        <v>194</v>
      </c>
      <c r="AM5" s="40" t="s">
        <v>195</v>
      </c>
      <c r="AN5" s="40" t="s">
        <v>196</v>
      </c>
      <c r="AO5" s="40" t="s">
        <v>197</v>
      </c>
      <c r="AP5" s="40" t="s">
        <v>198</v>
      </c>
    </row>
    <row r="6" spans="1:42" x14ac:dyDescent="0.4">
      <c r="A6" s="23" t="s">
        <v>199</v>
      </c>
      <c r="B6" s="41">
        <v>45882</v>
      </c>
      <c r="C6" s="41">
        <v>45883</v>
      </c>
      <c r="D6" s="23">
        <v>9</v>
      </c>
      <c r="E6" s="23" t="s">
        <v>200</v>
      </c>
      <c r="F6" s="42">
        <v>2.9049999999999998</v>
      </c>
      <c r="G6" s="23" t="s">
        <v>201</v>
      </c>
      <c r="H6" s="23" t="s">
        <v>202</v>
      </c>
      <c r="I6" s="23" t="s">
        <v>203</v>
      </c>
      <c r="J6" s="43">
        <v>3.7</v>
      </c>
      <c r="K6" s="43" t="s">
        <v>204</v>
      </c>
      <c r="L6" s="46">
        <v>177</v>
      </c>
      <c r="M6" s="44">
        <f>N6*10</f>
        <v>13.799999999999999</v>
      </c>
      <c r="N6" s="45">
        <v>1.38</v>
      </c>
      <c r="O6" s="46">
        <v>266</v>
      </c>
      <c r="P6" s="47">
        <f t="shared" ref="P6:P37" si="0">O6/200</f>
        <v>1.33</v>
      </c>
      <c r="Q6" s="23">
        <v>6</v>
      </c>
      <c r="R6" s="23">
        <v>3</v>
      </c>
      <c r="S6" s="23">
        <v>0</v>
      </c>
      <c r="T6" s="23">
        <v>87</v>
      </c>
      <c r="U6" s="23">
        <v>4</v>
      </c>
      <c r="V6" s="23">
        <v>0</v>
      </c>
      <c r="W6" s="48">
        <f t="shared" ref="W6:W37" si="1">SUM(T6,U6)</f>
        <v>91</v>
      </c>
      <c r="X6" s="48">
        <f t="shared" ref="X6:X37" si="2">SUM(Q6,R6,S6,V6)</f>
        <v>9</v>
      </c>
      <c r="Y6" s="23" t="s">
        <v>204</v>
      </c>
      <c r="Z6" s="23" t="s">
        <v>204</v>
      </c>
      <c r="AA6" s="23" t="s">
        <v>204</v>
      </c>
      <c r="AB6" s="23" t="s">
        <v>204</v>
      </c>
      <c r="AC6" s="49">
        <f t="shared" ref="AC6:AC37" si="3">(W6/(W6+X6))*100</f>
        <v>91</v>
      </c>
      <c r="AD6" s="50">
        <f t="shared" ref="AD6:AD37" si="4">((Q6+R6)/(W6+X6))*100</f>
        <v>9</v>
      </c>
      <c r="AE6" s="50" t="s">
        <v>205</v>
      </c>
      <c r="AF6" s="50" t="s">
        <v>205</v>
      </c>
      <c r="AG6" s="41">
        <f t="shared" ref="AG6:AG16" si="5">C6</f>
        <v>45883</v>
      </c>
      <c r="AH6" s="43">
        <v>21.6</v>
      </c>
      <c r="AI6" s="51">
        <v>3.29</v>
      </c>
      <c r="AJ6" s="54">
        <v>7.95</v>
      </c>
      <c r="AK6" s="51">
        <v>0</v>
      </c>
      <c r="AL6" s="54">
        <v>2.89</v>
      </c>
      <c r="AM6" s="52" t="s">
        <v>206</v>
      </c>
      <c r="AN6" s="52">
        <v>0.01</v>
      </c>
      <c r="AO6" s="52" t="s">
        <v>204</v>
      </c>
      <c r="AP6" s="52" t="s">
        <v>204</v>
      </c>
    </row>
    <row r="7" spans="1:42" x14ac:dyDescent="0.4">
      <c r="A7" s="23" t="s">
        <v>207</v>
      </c>
      <c r="B7" s="41">
        <v>45894</v>
      </c>
      <c r="C7" s="41">
        <v>45895</v>
      </c>
      <c r="D7" s="23">
        <v>33</v>
      </c>
      <c r="E7" s="23" t="s">
        <v>200</v>
      </c>
      <c r="F7" s="42">
        <v>12.835000000000001</v>
      </c>
      <c r="G7" s="23" t="s">
        <v>208</v>
      </c>
      <c r="H7" s="23" t="s">
        <v>209</v>
      </c>
      <c r="I7" s="23" t="s">
        <v>210</v>
      </c>
      <c r="J7" s="43">
        <v>19</v>
      </c>
      <c r="K7" s="43" t="s">
        <v>204</v>
      </c>
      <c r="L7" s="46">
        <v>286.75</v>
      </c>
      <c r="M7" s="46">
        <v>14.6</v>
      </c>
      <c r="N7" s="45">
        <v>1.44</v>
      </c>
      <c r="O7" s="46">
        <v>322</v>
      </c>
      <c r="P7" s="47">
        <f t="shared" si="0"/>
        <v>1.61</v>
      </c>
      <c r="Q7" s="23">
        <v>5</v>
      </c>
      <c r="R7" s="23">
        <v>1</v>
      </c>
      <c r="S7" s="23">
        <v>0</v>
      </c>
      <c r="T7" s="23">
        <v>154</v>
      </c>
      <c r="U7" s="23">
        <v>37</v>
      </c>
      <c r="V7" s="23">
        <v>3</v>
      </c>
      <c r="W7" s="48">
        <f t="shared" si="1"/>
        <v>191</v>
      </c>
      <c r="X7" s="48">
        <f t="shared" si="2"/>
        <v>9</v>
      </c>
      <c r="Y7" s="23" t="s">
        <v>204</v>
      </c>
      <c r="Z7" s="23" t="s">
        <v>204</v>
      </c>
      <c r="AA7" s="23" t="s">
        <v>204</v>
      </c>
      <c r="AB7" s="23" t="s">
        <v>204</v>
      </c>
      <c r="AC7" s="49">
        <f t="shared" si="3"/>
        <v>95.5</v>
      </c>
      <c r="AD7" s="50">
        <f t="shared" si="4"/>
        <v>3</v>
      </c>
      <c r="AE7" s="50" t="s">
        <v>205</v>
      </c>
      <c r="AF7" s="50" t="s">
        <v>205</v>
      </c>
      <c r="AG7" s="41">
        <f t="shared" si="5"/>
        <v>45895</v>
      </c>
      <c r="AH7" s="43">
        <v>23.5</v>
      </c>
      <c r="AI7" s="51">
        <v>3.4</v>
      </c>
      <c r="AJ7" s="54">
        <v>6.9</v>
      </c>
      <c r="AK7" s="51">
        <v>0.24</v>
      </c>
      <c r="AL7" s="54">
        <v>2.91</v>
      </c>
      <c r="AM7" s="52" t="s">
        <v>206</v>
      </c>
      <c r="AN7" s="52">
        <v>0.03</v>
      </c>
      <c r="AO7" s="52" t="s">
        <v>204</v>
      </c>
      <c r="AP7" s="52" t="s">
        <v>204</v>
      </c>
    </row>
    <row r="8" spans="1:42" x14ac:dyDescent="0.4">
      <c r="A8" s="23" t="s">
        <v>211</v>
      </c>
      <c r="B8" s="41">
        <v>45910</v>
      </c>
      <c r="C8" s="41">
        <v>45911</v>
      </c>
      <c r="D8" s="21">
        <v>11</v>
      </c>
      <c r="E8" s="21" t="s">
        <v>200</v>
      </c>
      <c r="F8" s="56">
        <v>4.7119999999999997</v>
      </c>
      <c r="G8" s="21" t="s">
        <v>212</v>
      </c>
      <c r="H8" s="21" t="s">
        <v>213</v>
      </c>
      <c r="I8" s="21" t="s">
        <v>214</v>
      </c>
      <c r="J8" s="43">
        <v>12</v>
      </c>
      <c r="K8" s="43" t="s">
        <v>204</v>
      </c>
      <c r="L8" s="44">
        <v>183.25</v>
      </c>
      <c r="M8" s="44">
        <v>13.1</v>
      </c>
      <c r="N8" s="45">
        <f>M8/10</f>
        <v>1.31</v>
      </c>
      <c r="O8" s="46">
        <v>218</v>
      </c>
      <c r="P8" s="47">
        <f t="shared" si="0"/>
        <v>1.0900000000000001</v>
      </c>
      <c r="Q8" s="23">
        <v>3</v>
      </c>
      <c r="R8" s="23">
        <v>0</v>
      </c>
      <c r="S8" s="23">
        <v>0</v>
      </c>
      <c r="T8" s="23">
        <v>82</v>
      </c>
      <c r="U8" s="23">
        <v>8</v>
      </c>
      <c r="V8" s="59">
        <v>7</v>
      </c>
      <c r="W8" s="48">
        <f t="shared" si="1"/>
        <v>90</v>
      </c>
      <c r="X8" s="48">
        <f t="shared" si="2"/>
        <v>10</v>
      </c>
      <c r="Y8" s="23" t="s">
        <v>204</v>
      </c>
      <c r="Z8" s="23" t="s">
        <v>204</v>
      </c>
      <c r="AA8" s="23" t="s">
        <v>204</v>
      </c>
      <c r="AB8" s="23" t="s">
        <v>204</v>
      </c>
      <c r="AC8" s="49">
        <f t="shared" si="3"/>
        <v>90</v>
      </c>
      <c r="AD8" s="50">
        <f t="shared" si="4"/>
        <v>3</v>
      </c>
      <c r="AE8" s="50" t="s">
        <v>205</v>
      </c>
      <c r="AF8" s="50" t="s">
        <v>205</v>
      </c>
      <c r="AG8" s="41">
        <f t="shared" si="5"/>
        <v>45911</v>
      </c>
      <c r="AH8" s="71">
        <v>24</v>
      </c>
      <c r="AI8" s="52">
        <v>3.54</v>
      </c>
      <c r="AJ8" s="52">
        <v>4.8</v>
      </c>
      <c r="AK8" s="52">
        <v>0.11</v>
      </c>
      <c r="AL8" s="52">
        <v>2.33</v>
      </c>
      <c r="AM8" s="52" t="s">
        <v>206</v>
      </c>
      <c r="AN8" s="52">
        <v>0.51</v>
      </c>
      <c r="AO8" s="52">
        <v>569</v>
      </c>
      <c r="AP8" s="52">
        <v>538</v>
      </c>
    </row>
    <row r="9" spans="1:42" x14ac:dyDescent="0.4">
      <c r="A9" s="23" t="s">
        <v>215</v>
      </c>
      <c r="B9" s="41">
        <v>45916</v>
      </c>
      <c r="C9" s="41">
        <v>45917</v>
      </c>
      <c r="D9" s="21">
        <v>1</v>
      </c>
      <c r="E9" s="21" t="s">
        <v>200</v>
      </c>
      <c r="F9" s="61">
        <v>0.374</v>
      </c>
      <c r="G9" s="21" t="s">
        <v>216</v>
      </c>
      <c r="H9" s="21" t="s">
        <v>202</v>
      </c>
      <c r="I9" s="21" t="s">
        <v>217</v>
      </c>
      <c r="J9" s="43">
        <v>22</v>
      </c>
      <c r="K9" s="43" t="s">
        <v>204</v>
      </c>
      <c r="L9" s="57">
        <v>103.7</v>
      </c>
      <c r="M9" s="57">
        <v>12</v>
      </c>
      <c r="N9" s="45">
        <f>M9/10</f>
        <v>1.2</v>
      </c>
      <c r="O9" s="58">
        <v>204</v>
      </c>
      <c r="P9" s="47">
        <f t="shared" si="0"/>
        <v>1.02</v>
      </c>
      <c r="Q9" s="23">
        <v>3</v>
      </c>
      <c r="R9" s="23">
        <v>0</v>
      </c>
      <c r="S9" s="23">
        <v>2</v>
      </c>
      <c r="T9" s="23">
        <v>71</v>
      </c>
      <c r="U9" s="23">
        <v>14</v>
      </c>
      <c r="V9" s="59">
        <v>10</v>
      </c>
      <c r="W9" s="48">
        <f t="shared" si="1"/>
        <v>85</v>
      </c>
      <c r="X9" s="48">
        <f t="shared" si="2"/>
        <v>15</v>
      </c>
      <c r="Y9" s="23" t="s">
        <v>204</v>
      </c>
      <c r="Z9" s="23" t="s">
        <v>204</v>
      </c>
      <c r="AA9" s="23" t="s">
        <v>204</v>
      </c>
      <c r="AB9" s="23" t="s">
        <v>204</v>
      </c>
      <c r="AC9" s="49">
        <f t="shared" si="3"/>
        <v>85</v>
      </c>
      <c r="AD9" s="50">
        <f t="shared" si="4"/>
        <v>3</v>
      </c>
      <c r="AE9" s="50" t="s">
        <v>205</v>
      </c>
      <c r="AF9" s="50" t="s">
        <v>205</v>
      </c>
      <c r="AG9" s="41"/>
      <c r="AH9" s="71">
        <v>24.5</v>
      </c>
      <c r="AI9" s="52">
        <v>3.56</v>
      </c>
      <c r="AJ9" s="52">
        <v>6.6</v>
      </c>
      <c r="AK9" s="52">
        <v>0.73</v>
      </c>
      <c r="AL9" s="52">
        <v>2.5499999999999998</v>
      </c>
      <c r="AM9" s="52" t="s">
        <v>206</v>
      </c>
      <c r="AN9" s="52" t="s">
        <v>218</v>
      </c>
      <c r="AO9" s="52" t="s">
        <v>204</v>
      </c>
      <c r="AP9" s="52" t="s">
        <v>204</v>
      </c>
    </row>
    <row r="10" spans="1:42" x14ac:dyDescent="0.4">
      <c r="A10" s="23" t="s">
        <v>219</v>
      </c>
      <c r="B10" s="41">
        <v>45883</v>
      </c>
      <c r="C10" s="41">
        <v>45884</v>
      </c>
      <c r="D10" s="23">
        <v>283</v>
      </c>
      <c r="E10" s="23" t="s">
        <v>220</v>
      </c>
      <c r="F10" s="42">
        <v>5.1929999999999996</v>
      </c>
      <c r="G10" s="23" t="s">
        <v>201</v>
      </c>
      <c r="H10" s="23" t="s">
        <v>202</v>
      </c>
      <c r="I10" s="23" t="s">
        <v>221</v>
      </c>
      <c r="J10" s="43">
        <v>8</v>
      </c>
      <c r="K10" s="43" t="s">
        <v>204</v>
      </c>
      <c r="L10" s="46">
        <v>306</v>
      </c>
      <c r="M10" s="44">
        <f>N10*10</f>
        <v>14</v>
      </c>
      <c r="N10" s="45">
        <v>1.4</v>
      </c>
      <c r="O10" s="46">
        <v>314</v>
      </c>
      <c r="P10" s="47">
        <f t="shared" si="0"/>
        <v>1.57</v>
      </c>
      <c r="Q10" s="23">
        <v>1</v>
      </c>
      <c r="R10" s="23">
        <v>4</v>
      </c>
      <c r="S10" s="23">
        <v>0</v>
      </c>
      <c r="T10" s="23">
        <v>159</v>
      </c>
      <c r="U10" s="23">
        <v>36</v>
      </c>
      <c r="V10" s="23">
        <v>0</v>
      </c>
      <c r="W10" s="48">
        <f t="shared" si="1"/>
        <v>195</v>
      </c>
      <c r="X10" s="48">
        <f t="shared" si="2"/>
        <v>5</v>
      </c>
      <c r="Y10" s="23" t="s">
        <v>204</v>
      </c>
      <c r="Z10" s="23" t="s">
        <v>204</v>
      </c>
      <c r="AA10" s="23" t="s">
        <v>204</v>
      </c>
      <c r="AB10" s="23" t="s">
        <v>204</v>
      </c>
      <c r="AC10" s="49">
        <f t="shared" si="3"/>
        <v>97.5</v>
      </c>
      <c r="AD10" s="50">
        <f t="shared" si="4"/>
        <v>2.5</v>
      </c>
      <c r="AE10" s="50" t="s">
        <v>205</v>
      </c>
      <c r="AF10" s="50" t="s">
        <v>205</v>
      </c>
      <c r="AG10" s="41">
        <f t="shared" si="5"/>
        <v>45884</v>
      </c>
      <c r="AH10" s="23">
        <v>22.3</v>
      </c>
      <c r="AI10" s="23">
        <v>3.34</v>
      </c>
      <c r="AJ10" s="55">
        <v>7.95</v>
      </c>
      <c r="AK10" s="23">
        <v>0.03</v>
      </c>
      <c r="AL10" s="55">
        <v>2.76</v>
      </c>
      <c r="AM10" s="52" t="s">
        <v>206</v>
      </c>
      <c r="AN10" s="52">
        <v>0</v>
      </c>
      <c r="AO10" s="52" t="s">
        <v>204</v>
      </c>
      <c r="AP10" s="52" t="s">
        <v>204</v>
      </c>
    </row>
    <row r="11" spans="1:42" x14ac:dyDescent="0.4">
      <c r="A11" s="23" t="s">
        <v>222</v>
      </c>
      <c r="B11" s="41">
        <v>45896</v>
      </c>
      <c r="C11" s="41">
        <v>45897</v>
      </c>
      <c r="D11" s="21">
        <v>7</v>
      </c>
      <c r="E11" s="23" t="s">
        <v>200</v>
      </c>
      <c r="F11" s="56">
        <v>2.802</v>
      </c>
      <c r="G11" s="23" t="s">
        <v>208</v>
      </c>
      <c r="H11" s="21" t="s">
        <v>209</v>
      </c>
      <c r="I11" s="21" t="s">
        <v>210</v>
      </c>
      <c r="J11" s="43">
        <v>21</v>
      </c>
      <c r="K11" s="43" t="s">
        <v>204</v>
      </c>
      <c r="L11" s="57">
        <v>186.5</v>
      </c>
      <c r="M11" s="57">
        <v>15.3</v>
      </c>
      <c r="N11" s="45">
        <f t="shared" ref="N11:N19" si="6">M11/10</f>
        <v>1.53</v>
      </c>
      <c r="O11" s="58">
        <v>380</v>
      </c>
      <c r="P11" s="47">
        <f t="shared" si="0"/>
        <v>1.9</v>
      </c>
      <c r="Q11" s="21">
        <v>2</v>
      </c>
      <c r="R11" s="21">
        <v>0</v>
      </c>
      <c r="S11" s="21">
        <v>0</v>
      </c>
      <c r="T11" s="21">
        <v>87</v>
      </c>
      <c r="U11" s="21">
        <v>6</v>
      </c>
      <c r="V11" s="21">
        <v>5</v>
      </c>
      <c r="W11" s="48">
        <f t="shared" si="1"/>
        <v>93</v>
      </c>
      <c r="X11" s="48">
        <f t="shared" si="2"/>
        <v>7</v>
      </c>
      <c r="Y11" s="23" t="s">
        <v>204</v>
      </c>
      <c r="Z11" s="23" t="s">
        <v>204</v>
      </c>
      <c r="AA11" s="23" t="s">
        <v>204</v>
      </c>
      <c r="AB11" s="23" t="s">
        <v>204</v>
      </c>
      <c r="AC11" s="49">
        <f t="shared" si="3"/>
        <v>93</v>
      </c>
      <c r="AD11" s="50">
        <f t="shared" si="4"/>
        <v>2</v>
      </c>
      <c r="AE11" s="50" t="s">
        <v>205</v>
      </c>
      <c r="AF11" s="50" t="s">
        <v>205</v>
      </c>
      <c r="AG11" s="41">
        <f t="shared" si="5"/>
        <v>45897</v>
      </c>
      <c r="AH11" s="43">
        <v>22</v>
      </c>
      <c r="AI11" s="51">
        <v>3.32</v>
      </c>
      <c r="AJ11" s="52">
        <v>6.45</v>
      </c>
      <c r="AK11" s="51">
        <v>0.16</v>
      </c>
      <c r="AL11" s="52">
        <v>2.89</v>
      </c>
      <c r="AM11" s="52" t="s">
        <v>206</v>
      </c>
      <c r="AN11" s="52">
        <v>0.03</v>
      </c>
      <c r="AO11" s="52" t="s">
        <v>204</v>
      </c>
      <c r="AP11" s="52" t="s">
        <v>204</v>
      </c>
    </row>
    <row r="12" spans="1:42" x14ac:dyDescent="0.4">
      <c r="A12" s="23" t="s">
        <v>223</v>
      </c>
      <c r="B12" s="41">
        <v>45902</v>
      </c>
      <c r="C12" s="41">
        <v>45902</v>
      </c>
      <c r="D12" s="21">
        <v>28</v>
      </c>
      <c r="E12" s="21" t="s">
        <v>200</v>
      </c>
      <c r="F12" s="61">
        <v>10.221</v>
      </c>
      <c r="G12" s="21" t="s">
        <v>208</v>
      </c>
      <c r="H12" s="21" t="s">
        <v>213</v>
      </c>
      <c r="I12" s="21" t="s">
        <v>224</v>
      </c>
      <c r="J12" s="43">
        <v>23</v>
      </c>
      <c r="K12" s="43" t="s">
        <v>204</v>
      </c>
      <c r="L12" s="58">
        <v>219.41</v>
      </c>
      <c r="M12" s="58">
        <v>15.1</v>
      </c>
      <c r="N12" s="45">
        <f t="shared" si="6"/>
        <v>1.51</v>
      </c>
      <c r="O12" s="58">
        <v>352</v>
      </c>
      <c r="P12" s="47">
        <f t="shared" si="0"/>
        <v>1.76</v>
      </c>
      <c r="Q12" s="23">
        <v>4</v>
      </c>
      <c r="R12" s="23">
        <v>0</v>
      </c>
      <c r="S12" s="23">
        <v>4</v>
      </c>
      <c r="T12" s="23">
        <v>180</v>
      </c>
      <c r="U12" s="23">
        <v>3</v>
      </c>
      <c r="V12" s="23">
        <v>9</v>
      </c>
      <c r="W12" s="48">
        <f t="shared" si="1"/>
        <v>183</v>
      </c>
      <c r="X12" s="48">
        <f t="shared" si="2"/>
        <v>17</v>
      </c>
      <c r="Y12" s="23" t="s">
        <v>204</v>
      </c>
      <c r="Z12" s="23" t="s">
        <v>204</v>
      </c>
      <c r="AA12" s="23" t="s">
        <v>204</v>
      </c>
      <c r="AB12" s="23" t="s">
        <v>204</v>
      </c>
      <c r="AC12" s="49">
        <f t="shared" si="3"/>
        <v>91.5</v>
      </c>
      <c r="AD12" s="50">
        <f t="shared" si="4"/>
        <v>2</v>
      </c>
      <c r="AE12" s="50" t="s">
        <v>205</v>
      </c>
      <c r="AF12" s="50" t="s">
        <v>205</v>
      </c>
      <c r="AG12" s="41">
        <f t="shared" si="5"/>
        <v>45902</v>
      </c>
      <c r="AH12" s="43">
        <v>23.5</v>
      </c>
      <c r="AI12" s="51">
        <v>3.45</v>
      </c>
      <c r="AJ12" s="52">
        <v>6.6</v>
      </c>
      <c r="AK12" s="51">
        <v>0.06</v>
      </c>
      <c r="AL12" s="52">
        <v>1.93</v>
      </c>
      <c r="AM12" s="52" t="s">
        <v>206</v>
      </c>
      <c r="AN12" s="52">
        <v>0</v>
      </c>
      <c r="AO12" s="52">
        <v>505</v>
      </c>
      <c r="AP12" s="52">
        <v>601</v>
      </c>
    </row>
    <row r="13" spans="1:42" x14ac:dyDescent="0.4">
      <c r="A13" s="23" t="s">
        <v>225</v>
      </c>
      <c r="B13" s="41">
        <v>45910</v>
      </c>
      <c r="C13" s="41">
        <v>45911</v>
      </c>
      <c r="D13" s="23">
        <v>16</v>
      </c>
      <c r="E13" s="23" t="s">
        <v>200</v>
      </c>
      <c r="F13" s="69">
        <v>7.2030000000000003</v>
      </c>
      <c r="G13" s="23" t="s">
        <v>216</v>
      </c>
      <c r="H13" s="23" t="s">
        <v>202</v>
      </c>
      <c r="I13" s="23" t="s">
        <v>217</v>
      </c>
      <c r="J13" s="43">
        <v>24</v>
      </c>
      <c r="K13" s="43" t="s">
        <v>204</v>
      </c>
      <c r="L13" s="44">
        <v>106.62</v>
      </c>
      <c r="M13" s="44">
        <v>13.3</v>
      </c>
      <c r="N13" s="45">
        <f t="shared" si="6"/>
        <v>1.33</v>
      </c>
      <c r="O13" s="46">
        <v>209</v>
      </c>
      <c r="P13" s="47">
        <f t="shared" si="0"/>
        <v>1.0449999999999999</v>
      </c>
      <c r="Q13" s="59">
        <v>0</v>
      </c>
      <c r="R13" s="59">
        <v>3</v>
      </c>
      <c r="S13" s="59">
        <v>0</v>
      </c>
      <c r="T13" s="59">
        <v>132</v>
      </c>
      <c r="U13" s="59">
        <v>10</v>
      </c>
      <c r="V13" s="59">
        <v>5</v>
      </c>
      <c r="W13" s="48">
        <f t="shared" si="1"/>
        <v>142</v>
      </c>
      <c r="X13" s="48">
        <f t="shared" si="2"/>
        <v>8</v>
      </c>
      <c r="Y13" s="23" t="s">
        <v>204</v>
      </c>
      <c r="Z13" s="23" t="s">
        <v>204</v>
      </c>
      <c r="AA13" s="23" t="s">
        <v>204</v>
      </c>
      <c r="AB13" s="23" t="s">
        <v>204</v>
      </c>
      <c r="AC13" s="49">
        <f t="shared" si="3"/>
        <v>94.666666666666671</v>
      </c>
      <c r="AD13" s="50">
        <f t="shared" si="4"/>
        <v>2</v>
      </c>
      <c r="AE13" s="50" t="s">
        <v>205</v>
      </c>
      <c r="AF13" s="50" t="s">
        <v>205</v>
      </c>
      <c r="AG13" s="41">
        <f t="shared" si="5"/>
        <v>45911</v>
      </c>
      <c r="AH13" s="43">
        <v>23.4</v>
      </c>
      <c r="AI13" s="51">
        <v>3.53</v>
      </c>
      <c r="AJ13" s="51">
        <v>5.55</v>
      </c>
      <c r="AK13" s="51">
        <v>0.08</v>
      </c>
      <c r="AL13" s="51">
        <v>2.36</v>
      </c>
      <c r="AM13" s="52" t="s">
        <v>206</v>
      </c>
      <c r="AN13" s="52">
        <v>0.3</v>
      </c>
      <c r="AO13" s="52" t="s">
        <v>204</v>
      </c>
      <c r="AP13" s="52" t="s">
        <v>204</v>
      </c>
    </row>
    <row r="14" spans="1:42" x14ac:dyDescent="0.4">
      <c r="A14" s="23" t="s">
        <v>226</v>
      </c>
      <c r="B14" s="60">
        <v>45919</v>
      </c>
      <c r="C14" s="60">
        <v>45920</v>
      </c>
      <c r="D14" s="21">
        <v>10</v>
      </c>
      <c r="E14" s="21" t="s">
        <v>200</v>
      </c>
      <c r="F14" s="61">
        <v>5.0570000000000004</v>
      </c>
      <c r="G14" s="21" t="s">
        <v>216</v>
      </c>
      <c r="H14" s="21" t="s">
        <v>209</v>
      </c>
      <c r="I14" s="21" t="s">
        <v>227</v>
      </c>
      <c r="J14" s="43">
        <v>23</v>
      </c>
      <c r="K14" s="43" t="s">
        <v>204</v>
      </c>
      <c r="L14" s="58">
        <v>193.5</v>
      </c>
      <c r="M14" s="58">
        <v>12.3</v>
      </c>
      <c r="N14" s="62">
        <f t="shared" si="6"/>
        <v>1.23</v>
      </c>
      <c r="O14" s="58">
        <v>243</v>
      </c>
      <c r="P14" s="47">
        <f t="shared" si="0"/>
        <v>1.2150000000000001</v>
      </c>
      <c r="Q14" s="23">
        <v>2</v>
      </c>
      <c r="R14" s="23">
        <v>0</v>
      </c>
      <c r="S14" s="23">
        <v>0</v>
      </c>
      <c r="T14" s="23">
        <v>93</v>
      </c>
      <c r="U14" s="23">
        <v>1</v>
      </c>
      <c r="V14" s="23">
        <v>4</v>
      </c>
      <c r="W14" s="48">
        <f t="shared" si="1"/>
        <v>94</v>
      </c>
      <c r="X14" s="48">
        <f t="shared" si="2"/>
        <v>6</v>
      </c>
      <c r="Y14" s="23"/>
      <c r="Z14" s="23"/>
      <c r="AA14" s="23"/>
      <c r="AB14" s="75"/>
      <c r="AC14" s="49">
        <f t="shared" si="3"/>
        <v>94</v>
      </c>
      <c r="AD14" s="50">
        <f t="shared" si="4"/>
        <v>2</v>
      </c>
      <c r="AE14" s="50" t="s">
        <v>205</v>
      </c>
      <c r="AF14" s="50" t="s">
        <v>205</v>
      </c>
      <c r="AG14" s="41">
        <f t="shared" si="5"/>
        <v>45920</v>
      </c>
      <c r="AH14" s="43">
        <v>20.7</v>
      </c>
      <c r="AI14" s="51">
        <v>3.47</v>
      </c>
      <c r="AJ14" s="54">
        <v>6.9</v>
      </c>
      <c r="AK14" s="51">
        <v>0.23</v>
      </c>
      <c r="AL14" s="54">
        <v>3.77</v>
      </c>
      <c r="AM14" s="52" t="s">
        <v>206</v>
      </c>
      <c r="AN14" s="52">
        <v>0.1</v>
      </c>
      <c r="AO14" s="52" t="s">
        <v>204</v>
      </c>
      <c r="AP14" s="52" t="s">
        <v>204</v>
      </c>
    </row>
    <row r="15" spans="1:42" x14ac:dyDescent="0.4">
      <c r="A15" s="23" t="s">
        <v>228</v>
      </c>
      <c r="B15" s="60">
        <v>45919</v>
      </c>
      <c r="C15" s="60">
        <v>45920</v>
      </c>
      <c r="D15" s="21">
        <v>49</v>
      </c>
      <c r="E15" s="21" t="s">
        <v>200</v>
      </c>
      <c r="F15" s="61">
        <v>20.562999999999999</v>
      </c>
      <c r="G15" s="21" t="s">
        <v>229</v>
      </c>
      <c r="H15" s="21" t="s">
        <v>230</v>
      </c>
      <c r="I15" s="21" t="s">
        <v>231</v>
      </c>
      <c r="J15" s="43">
        <v>27</v>
      </c>
      <c r="K15" s="43" t="s">
        <v>204</v>
      </c>
      <c r="L15" s="58">
        <v>235</v>
      </c>
      <c r="M15" s="58">
        <v>14.6</v>
      </c>
      <c r="N15" s="62">
        <f t="shared" si="6"/>
        <v>1.46</v>
      </c>
      <c r="O15" s="58">
        <v>310</v>
      </c>
      <c r="P15" s="47">
        <f t="shared" si="0"/>
        <v>1.55</v>
      </c>
      <c r="Q15" s="23">
        <v>0</v>
      </c>
      <c r="R15" s="23">
        <v>5</v>
      </c>
      <c r="S15" s="23">
        <v>7</v>
      </c>
      <c r="T15" s="23">
        <v>223</v>
      </c>
      <c r="U15" s="23">
        <v>6</v>
      </c>
      <c r="V15" s="23">
        <v>9</v>
      </c>
      <c r="W15" s="48">
        <f t="shared" si="1"/>
        <v>229</v>
      </c>
      <c r="X15" s="48">
        <f t="shared" si="2"/>
        <v>21</v>
      </c>
      <c r="Y15" s="23"/>
      <c r="Z15" s="23"/>
      <c r="AA15" s="23"/>
      <c r="AB15" s="75"/>
      <c r="AC15" s="49">
        <f t="shared" si="3"/>
        <v>91.600000000000009</v>
      </c>
      <c r="AD15" s="50">
        <f t="shared" si="4"/>
        <v>2</v>
      </c>
      <c r="AE15" s="50" t="s">
        <v>205</v>
      </c>
      <c r="AF15" s="50" t="s">
        <v>205</v>
      </c>
      <c r="AG15" s="41">
        <f t="shared" si="5"/>
        <v>45920</v>
      </c>
      <c r="AH15" s="43">
        <v>21.5</v>
      </c>
      <c r="AI15" s="51">
        <v>3.42</v>
      </c>
      <c r="AJ15" s="54">
        <v>5.7</v>
      </c>
      <c r="AK15" s="51">
        <v>0.06</v>
      </c>
      <c r="AL15" s="54">
        <v>1.68</v>
      </c>
      <c r="AM15" s="52" t="s">
        <v>206</v>
      </c>
      <c r="AN15" s="52">
        <v>0.54</v>
      </c>
      <c r="AO15" s="52">
        <v>455</v>
      </c>
      <c r="AP15" s="52">
        <v>399</v>
      </c>
    </row>
    <row r="16" spans="1:42" x14ac:dyDescent="0.4">
      <c r="A16" s="23" t="s">
        <v>232</v>
      </c>
      <c r="B16" s="60">
        <v>45921</v>
      </c>
      <c r="C16" s="60">
        <v>45922</v>
      </c>
      <c r="D16" s="21">
        <v>38</v>
      </c>
      <c r="E16" s="21" t="s">
        <v>200</v>
      </c>
      <c r="F16" s="56">
        <v>14.228999999999999</v>
      </c>
      <c r="G16" s="21" t="s">
        <v>229</v>
      </c>
      <c r="H16" s="21" t="s">
        <v>213</v>
      </c>
      <c r="I16" s="21" t="s">
        <v>233</v>
      </c>
      <c r="J16" s="43">
        <v>19</v>
      </c>
      <c r="K16" s="43" t="s">
        <v>204</v>
      </c>
      <c r="L16" s="57">
        <v>141.16</v>
      </c>
      <c r="M16" s="57">
        <v>13.8</v>
      </c>
      <c r="N16" s="62">
        <f t="shared" si="6"/>
        <v>1.3800000000000001</v>
      </c>
      <c r="O16" s="58">
        <v>141.16</v>
      </c>
      <c r="P16" s="76">
        <f t="shared" si="0"/>
        <v>0.70579999999999998</v>
      </c>
      <c r="Q16" s="23">
        <v>4</v>
      </c>
      <c r="R16" s="23">
        <v>0</v>
      </c>
      <c r="S16" s="23">
        <v>3</v>
      </c>
      <c r="T16" s="23">
        <v>181</v>
      </c>
      <c r="U16" s="23">
        <v>8</v>
      </c>
      <c r="V16" s="23">
        <v>4</v>
      </c>
      <c r="W16" s="48">
        <f t="shared" si="1"/>
        <v>189</v>
      </c>
      <c r="X16" s="48">
        <f t="shared" si="2"/>
        <v>11</v>
      </c>
      <c r="Y16" s="23"/>
      <c r="Z16" s="23"/>
      <c r="AA16" s="23"/>
      <c r="AB16" s="49"/>
      <c r="AC16" s="49">
        <f t="shared" si="3"/>
        <v>94.5</v>
      </c>
      <c r="AD16" s="50">
        <f t="shared" si="4"/>
        <v>2</v>
      </c>
      <c r="AE16" s="50" t="s">
        <v>205</v>
      </c>
      <c r="AF16" s="50" t="s">
        <v>205</v>
      </c>
      <c r="AG16" s="41">
        <f t="shared" si="5"/>
        <v>45922</v>
      </c>
      <c r="AH16" s="43">
        <v>22.7</v>
      </c>
      <c r="AI16" s="51">
        <v>3.58</v>
      </c>
      <c r="AJ16" s="51">
        <v>5.55</v>
      </c>
      <c r="AK16" s="51">
        <v>0.03</v>
      </c>
      <c r="AL16" s="52">
        <v>3.12</v>
      </c>
      <c r="AM16" s="52" t="s">
        <v>206</v>
      </c>
      <c r="AN16" s="52">
        <v>0</v>
      </c>
      <c r="AO16" s="52">
        <v>680</v>
      </c>
      <c r="AP16" s="52">
        <v>524</v>
      </c>
    </row>
    <row r="17" spans="1:42" x14ac:dyDescent="0.4">
      <c r="A17" s="21" t="s">
        <v>234</v>
      </c>
      <c r="B17" s="41">
        <v>45941</v>
      </c>
      <c r="C17" s="41">
        <v>45942</v>
      </c>
      <c r="D17" s="23">
        <v>17</v>
      </c>
      <c r="E17" s="23" t="s">
        <v>200</v>
      </c>
      <c r="F17" s="42">
        <v>8.5350000000000001</v>
      </c>
      <c r="G17" s="23" t="s">
        <v>216</v>
      </c>
      <c r="H17" s="23" t="s">
        <v>213</v>
      </c>
      <c r="I17" s="23" t="s">
        <v>235</v>
      </c>
      <c r="J17" s="23">
        <v>24</v>
      </c>
      <c r="K17" s="23" t="s">
        <v>204</v>
      </c>
      <c r="L17" s="44">
        <v>132.125</v>
      </c>
      <c r="M17" s="44">
        <v>11.9</v>
      </c>
      <c r="N17" s="45">
        <f t="shared" si="6"/>
        <v>1.19</v>
      </c>
      <c r="O17" s="44">
        <v>234</v>
      </c>
      <c r="P17" s="47">
        <f t="shared" si="0"/>
        <v>1.17</v>
      </c>
      <c r="Q17" s="23">
        <v>3</v>
      </c>
      <c r="R17" s="23">
        <v>0</v>
      </c>
      <c r="S17" s="23">
        <v>0</v>
      </c>
      <c r="T17" s="23">
        <v>135</v>
      </c>
      <c r="U17" s="23">
        <v>12</v>
      </c>
      <c r="V17" s="23">
        <v>0</v>
      </c>
      <c r="W17" s="48">
        <f t="shared" si="1"/>
        <v>147</v>
      </c>
      <c r="X17" s="48">
        <f t="shared" si="2"/>
        <v>3</v>
      </c>
      <c r="Y17" s="23"/>
      <c r="Z17" s="23"/>
      <c r="AA17" s="23"/>
      <c r="AB17" s="52"/>
      <c r="AC17" s="49">
        <f t="shared" si="3"/>
        <v>98</v>
      </c>
      <c r="AD17" s="50">
        <f t="shared" si="4"/>
        <v>2</v>
      </c>
      <c r="AE17" s="50" t="s">
        <v>205</v>
      </c>
      <c r="AF17" s="50" t="s">
        <v>205</v>
      </c>
      <c r="AG17" s="41">
        <v>45941</v>
      </c>
      <c r="AH17" s="43">
        <v>22.1</v>
      </c>
      <c r="AI17" s="51">
        <v>3.96</v>
      </c>
      <c r="AJ17" s="51">
        <v>6.15</v>
      </c>
      <c r="AK17" s="51">
        <v>0.02</v>
      </c>
      <c r="AL17" s="51">
        <v>3.08</v>
      </c>
      <c r="AM17" s="51">
        <v>0</v>
      </c>
      <c r="AN17" s="51">
        <v>0.03</v>
      </c>
      <c r="AO17" s="51">
        <v>1269</v>
      </c>
      <c r="AP17" s="51">
        <v>1241</v>
      </c>
    </row>
    <row r="18" spans="1:42" x14ac:dyDescent="0.4">
      <c r="A18" s="23" t="s">
        <v>236</v>
      </c>
      <c r="B18" s="41">
        <v>45897</v>
      </c>
      <c r="C18" s="41">
        <v>45898</v>
      </c>
      <c r="D18" s="21">
        <v>21</v>
      </c>
      <c r="E18" s="23" t="s">
        <v>200</v>
      </c>
      <c r="F18" s="61">
        <v>8.5060000000000002</v>
      </c>
      <c r="G18" s="21" t="s">
        <v>201</v>
      </c>
      <c r="H18" s="21" t="s">
        <v>202</v>
      </c>
      <c r="I18" s="21" t="s">
        <v>237</v>
      </c>
      <c r="J18" s="43">
        <v>18</v>
      </c>
      <c r="K18" s="43" t="s">
        <v>204</v>
      </c>
      <c r="L18" s="57">
        <v>167.37</v>
      </c>
      <c r="M18" s="57">
        <v>13.6</v>
      </c>
      <c r="N18" s="45">
        <f t="shared" si="6"/>
        <v>1.3599999999999999</v>
      </c>
      <c r="O18" s="58">
        <v>260</v>
      </c>
      <c r="P18" s="47">
        <f t="shared" si="0"/>
        <v>1.3</v>
      </c>
      <c r="Q18" s="23">
        <v>2</v>
      </c>
      <c r="R18" s="23">
        <v>0</v>
      </c>
      <c r="S18" s="23">
        <v>0</v>
      </c>
      <c r="T18" s="23">
        <v>119</v>
      </c>
      <c r="U18" s="23">
        <v>18</v>
      </c>
      <c r="V18" s="23">
        <v>11</v>
      </c>
      <c r="W18" s="48">
        <f t="shared" si="1"/>
        <v>137</v>
      </c>
      <c r="X18" s="48">
        <f t="shared" si="2"/>
        <v>13</v>
      </c>
      <c r="Y18" s="23" t="s">
        <v>204</v>
      </c>
      <c r="Z18" s="23" t="s">
        <v>204</v>
      </c>
      <c r="AA18" s="23" t="s">
        <v>204</v>
      </c>
      <c r="AB18" s="23" t="s">
        <v>204</v>
      </c>
      <c r="AC18" s="49">
        <f t="shared" si="3"/>
        <v>91.333333333333329</v>
      </c>
      <c r="AD18" s="50">
        <f t="shared" si="4"/>
        <v>1.3333333333333335</v>
      </c>
      <c r="AE18" s="50" t="s">
        <v>205</v>
      </c>
      <c r="AF18" s="50" t="s">
        <v>205</v>
      </c>
      <c r="AG18" s="41">
        <f>C18</f>
        <v>45898</v>
      </c>
      <c r="AH18" s="43">
        <v>23.1</v>
      </c>
      <c r="AI18" s="51">
        <v>3.35</v>
      </c>
      <c r="AJ18" s="52">
        <v>7.35</v>
      </c>
      <c r="AK18" s="51">
        <v>0.02</v>
      </c>
      <c r="AL18" s="52">
        <v>2.08</v>
      </c>
      <c r="AM18" s="52" t="s">
        <v>206</v>
      </c>
      <c r="AN18" s="52">
        <v>0</v>
      </c>
      <c r="AO18" s="52" t="s">
        <v>204</v>
      </c>
      <c r="AP18" s="52" t="s">
        <v>204</v>
      </c>
    </row>
    <row r="19" spans="1:42" x14ac:dyDescent="0.4">
      <c r="A19" s="23" t="s">
        <v>238</v>
      </c>
      <c r="B19" s="60">
        <v>45925</v>
      </c>
      <c r="C19" s="60">
        <v>45926</v>
      </c>
      <c r="D19" s="21">
        <v>18</v>
      </c>
      <c r="E19" s="21" t="s">
        <v>200</v>
      </c>
      <c r="F19" s="56">
        <v>7.0640000000000001</v>
      </c>
      <c r="G19" s="21" t="s">
        <v>239</v>
      </c>
      <c r="H19" s="21" t="s">
        <v>230</v>
      </c>
      <c r="I19" s="21" t="s">
        <v>240</v>
      </c>
      <c r="J19" s="23">
        <v>22</v>
      </c>
      <c r="K19" s="23" t="s">
        <v>204</v>
      </c>
      <c r="L19" s="57">
        <v>155.37</v>
      </c>
      <c r="M19" s="57">
        <v>13.5</v>
      </c>
      <c r="N19" s="62">
        <f t="shared" si="6"/>
        <v>1.35</v>
      </c>
      <c r="O19" s="58">
        <v>223</v>
      </c>
      <c r="P19" s="76">
        <f t="shared" si="0"/>
        <v>1.115</v>
      </c>
      <c r="Q19" s="23">
        <v>2</v>
      </c>
      <c r="R19" s="23">
        <v>0</v>
      </c>
      <c r="S19" s="23">
        <v>3</v>
      </c>
      <c r="T19" s="23">
        <v>138</v>
      </c>
      <c r="U19" s="23">
        <v>3</v>
      </c>
      <c r="V19" s="23">
        <v>4</v>
      </c>
      <c r="W19" s="48">
        <f t="shared" si="1"/>
        <v>141</v>
      </c>
      <c r="X19" s="48">
        <f t="shared" si="2"/>
        <v>9</v>
      </c>
      <c r="Y19" s="23"/>
      <c r="Z19" s="23"/>
      <c r="AA19" s="23"/>
      <c r="AB19" s="49"/>
      <c r="AC19" s="49">
        <f t="shared" si="3"/>
        <v>94</v>
      </c>
      <c r="AD19" s="50">
        <f t="shared" si="4"/>
        <v>1.3333333333333335</v>
      </c>
      <c r="AE19" s="50" t="s">
        <v>205</v>
      </c>
      <c r="AF19" s="50" t="s">
        <v>205</v>
      </c>
      <c r="AG19" s="41">
        <f>C19</f>
        <v>45926</v>
      </c>
      <c r="AH19" s="43">
        <v>24</v>
      </c>
      <c r="AI19" s="51">
        <v>3.45</v>
      </c>
      <c r="AJ19" s="51">
        <v>5.7</v>
      </c>
      <c r="AK19" s="51">
        <v>0.03</v>
      </c>
      <c r="AL19" s="51">
        <v>1.36</v>
      </c>
      <c r="AM19" s="52" t="s">
        <v>206</v>
      </c>
      <c r="AN19" s="52">
        <v>0.05</v>
      </c>
      <c r="AO19" s="52">
        <v>472</v>
      </c>
      <c r="AP19" s="52">
        <v>600</v>
      </c>
    </row>
    <row r="20" spans="1:42" x14ac:dyDescent="0.4">
      <c r="A20" s="23" t="s">
        <v>241</v>
      </c>
      <c r="B20" s="41">
        <v>45880</v>
      </c>
      <c r="C20" s="41">
        <v>45881</v>
      </c>
      <c r="D20" s="23">
        <v>34</v>
      </c>
      <c r="E20" s="23" t="s">
        <v>200</v>
      </c>
      <c r="F20" s="53">
        <v>13.1265</v>
      </c>
      <c r="G20" s="23" t="s">
        <v>201</v>
      </c>
      <c r="H20" s="23" t="s">
        <v>202</v>
      </c>
      <c r="I20" s="23" t="s">
        <v>242</v>
      </c>
      <c r="J20" s="43">
        <v>11.9</v>
      </c>
      <c r="K20" s="43" t="s">
        <v>204</v>
      </c>
      <c r="L20" s="44">
        <v>188.5</v>
      </c>
      <c r="M20" s="44">
        <f>N20*10</f>
        <v>13.120000000000001</v>
      </c>
      <c r="N20" s="45">
        <v>1.3120000000000001</v>
      </c>
      <c r="O20" s="46">
        <v>302</v>
      </c>
      <c r="P20" s="47">
        <f t="shared" si="0"/>
        <v>1.51</v>
      </c>
      <c r="Q20" s="23">
        <v>2</v>
      </c>
      <c r="R20" s="23">
        <v>0</v>
      </c>
      <c r="S20" s="23">
        <v>1</v>
      </c>
      <c r="T20" s="23">
        <v>167</v>
      </c>
      <c r="U20" s="23">
        <v>30</v>
      </c>
      <c r="V20" s="23">
        <v>0</v>
      </c>
      <c r="W20" s="48">
        <f t="shared" si="1"/>
        <v>197</v>
      </c>
      <c r="X20" s="48">
        <f t="shared" si="2"/>
        <v>3</v>
      </c>
      <c r="Y20" s="23" t="s">
        <v>204</v>
      </c>
      <c r="Z20" s="23" t="s">
        <v>204</v>
      </c>
      <c r="AA20" s="23" t="s">
        <v>204</v>
      </c>
      <c r="AB20" s="23" t="s">
        <v>204</v>
      </c>
      <c r="AC20" s="49">
        <f t="shared" si="3"/>
        <v>98.5</v>
      </c>
      <c r="AD20" s="50">
        <f t="shared" si="4"/>
        <v>1</v>
      </c>
      <c r="AE20" s="50" t="s">
        <v>205</v>
      </c>
      <c r="AF20" s="50" t="s">
        <v>205</v>
      </c>
      <c r="AG20" s="41">
        <f>C20</f>
        <v>45881</v>
      </c>
      <c r="AH20" s="43">
        <v>21.5</v>
      </c>
      <c r="AI20" s="51">
        <v>3.24</v>
      </c>
      <c r="AJ20" s="52">
        <v>7.65</v>
      </c>
      <c r="AK20" s="51">
        <v>0</v>
      </c>
      <c r="AL20" s="52">
        <v>2.38</v>
      </c>
      <c r="AM20" s="52" t="s">
        <v>206</v>
      </c>
      <c r="AN20" s="52">
        <v>0.05</v>
      </c>
      <c r="AO20" s="52" t="s">
        <v>204</v>
      </c>
      <c r="AP20" s="52" t="s">
        <v>204</v>
      </c>
    </row>
    <row r="21" spans="1:42" x14ac:dyDescent="0.4">
      <c r="A21" s="23" t="s">
        <v>243</v>
      </c>
      <c r="B21" s="60">
        <v>45887</v>
      </c>
      <c r="C21" s="60">
        <v>45888</v>
      </c>
      <c r="D21" s="21">
        <v>9</v>
      </c>
      <c r="E21" s="23" t="s">
        <v>200</v>
      </c>
      <c r="F21" s="61">
        <v>3.552</v>
      </c>
      <c r="G21" s="23" t="s">
        <v>201</v>
      </c>
      <c r="H21" s="23" t="s">
        <v>202</v>
      </c>
      <c r="I21" s="21" t="s">
        <v>244</v>
      </c>
      <c r="J21" s="43">
        <v>14</v>
      </c>
      <c r="K21" s="43" t="s">
        <v>204</v>
      </c>
      <c r="L21" s="58">
        <v>183</v>
      </c>
      <c r="M21" s="58">
        <f>N21*10</f>
        <v>13.3</v>
      </c>
      <c r="N21" s="62">
        <v>1.33</v>
      </c>
      <c r="O21" s="58">
        <v>277</v>
      </c>
      <c r="P21" s="47">
        <f t="shared" si="0"/>
        <v>1.385</v>
      </c>
      <c r="Q21" s="21">
        <v>0</v>
      </c>
      <c r="R21" s="21">
        <v>1</v>
      </c>
      <c r="S21" s="21">
        <v>0</v>
      </c>
      <c r="T21" s="21">
        <v>90</v>
      </c>
      <c r="U21" s="21">
        <v>7</v>
      </c>
      <c r="V21" s="21">
        <v>2</v>
      </c>
      <c r="W21" s="63">
        <f t="shared" si="1"/>
        <v>97</v>
      </c>
      <c r="X21" s="63">
        <f t="shared" si="2"/>
        <v>3</v>
      </c>
      <c r="Y21" s="23" t="s">
        <v>204</v>
      </c>
      <c r="Z21" s="23" t="s">
        <v>204</v>
      </c>
      <c r="AA21" s="23" t="s">
        <v>204</v>
      </c>
      <c r="AB21" s="23" t="s">
        <v>204</v>
      </c>
      <c r="AC21" s="49">
        <f t="shared" si="3"/>
        <v>97</v>
      </c>
      <c r="AD21" s="50">
        <f t="shared" si="4"/>
        <v>1</v>
      </c>
      <c r="AE21" s="50" t="s">
        <v>205</v>
      </c>
      <c r="AF21" s="50" t="s">
        <v>205</v>
      </c>
      <c r="AG21" s="41">
        <f>C21</f>
        <v>45888</v>
      </c>
      <c r="AH21" s="43">
        <v>21</v>
      </c>
      <c r="AI21" s="51">
        <v>3.31</v>
      </c>
      <c r="AJ21" s="54">
        <v>7.05</v>
      </c>
      <c r="AK21" s="51">
        <v>0.06</v>
      </c>
      <c r="AL21" s="54">
        <v>1.59</v>
      </c>
      <c r="AM21" s="52" t="s">
        <v>206</v>
      </c>
      <c r="AN21" s="52">
        <v>0.05</v>
      </c>
      <c r="AO21" s="52" t="s">
        <v>204</v>
      </c>
      <c r="AP21" s="52" t="s">
        <v>204</v>
      </c>
    </row>
    <row r="22" spans="1:42" x14ac:dyDescent="0.4">
      <c r="A22" s="23" t="s">
        <v>245</v>
      </c>
      <c r="B22" s="41">
        <v>45910</v>
      </c>
      <c r="C22" s="41">
        <v>45911</v>
      </c>
      <c r="D22" s="21">
        <v>2</v>
      </c>
      <c r="E22" s="21" t="s">
        <v>200</v>
      </c>
      <c r="F22" s="56">
        <v>0.66300000000000003</v>
      </c>
      <c r="G22" s="21" t="s">
        <v>229</v>
      </c>
      <c r="H22" s="21" t="s">
        <v>202</v>
      </c>
      <c r="I22" s="21" t="s">
        <v>246</v>
      </c>
      <c r="J22" s="43">
        <v>9.5</v>
      </c>
      <c r="K22" s="43" t="s">
        <v>204</v>
      </c>
      <c r="L22" s="44">
        <v>101</v>
      </c>
      <c r="M22" s="44">
        <v>13.2</v>
      </c>
      <c r="N22" s="45">
        <f t="shared" ref="N22:N28" si="7">M22/10</f>
        <v>1.3199999999999998</v>
      </c>
      <c r="O22" s="46">
        <v>193</v>
      </c>
      <c r="P22" s="47">
        <f t="shared" si="0"/>
        <v>0.96499999999999997</v>
      </c>
      <c r="Q22" s="23">
        <v>1</v>
      </c>
      <c r="R22" s="23">
        <v>0</v>
      </c>
      <c r="S22" s="23">
        <v>0</v>
      </c>
      <c r="T22" s="23">
        <v>92</v>
      </c>
      <c r="U22" s="23">
        <v>4</v>
      </c>
      <c r="V22" s="59">
        <v>3</v>
      </c>
      <c r="W22" s="48">
        <f t="shared" si="1"/>
        <v>96</v>
      </c>
      <c r="X22" s="48">
        <f t="shared" si="2"/>
        <v>4</v>
      </c>
      <c r="Y22" s="23" t="s">
        <v>204</v>
      </c>
      <c r="Z22" s="23" t="s">
        <v>204</v>
      </c>
      <c r="AA22" s="23" t="s">
        <v>204</v>
      </c>
      <c r="AB22" s="23" t="s">
        <v>204</v>
      </c>
      <c r="AC22" s="49">
        <f t="shared" si="3"/>
        <v>96</v>
      </c>
      <c r="AD22" s="50">
        <f t="shared" si="4"/>
        <v>1</v>
      </c>
      <c r="AE22" s="50" t="s">
        <v>205</v>
      </c>
      <c r="AF22" s="50" t="s">
        <v>205</v>
      </c>
      <c r="AG22" s="41">
        <f>C22</f>
        <v>45911</v>
      </c>
      <c r="AH22" s="71">
        <v>22.7</v>
      </c>
      <c r="AI22" s="52">
        <v>3.62</v>
      </c>
      <c r="AJ22" s="52">
        <v>6.15</v>
      </c>
      <c r="AK22" s="52">
        <v>0.02</v>
      </c>
      <c r="AL22" s="52">
        <v>3.28</v>
      </c>
      <c r="AM22" s="52" t="s">
        <v>206</v>
      </c>
      <c r="AN22" s="52">
        <v>0.3</v>
      </c>
      <c r="AO22" s="52" t="s">
        <v>204</v>
      </c>
      <c r="AP22" s="52" t="s">
        <v>204</v>
      </c>
    </row>
    <row r="23" spans="1:42" x14ac:dyDescent="0.4">
      <c r="A23" s="21" t="s">
        <v>247</v>
      </c>
      <c r="B23" s="41">
        <v>45940</v>
      </c>
      <c r="C23" s="41">
        <v>45941</v>
      </c>
      <c r="D23" s="23">
        <v>24</v>
      </c>
      <c r="E23" s="23" t="s">
        <v>200</v>
      </c>
      <c r="F23" s="42">
        <v>12.1945</v>
      </c>
      <c r="G23" s="23" t="s">
        <v>216</v>
      </c>
      <c r="H23" s="23" t="s">
        <v>213</v>
      </c>
      <c r="I23" s="23" t="s">
        <v>248</v>
      </c>
      <c r="J23" s="23">
        <v>27</v>
      </c>
      <c r="K23" s="23" t="s">
        <v>204</v>
      </c>
      <c r="L23" s="44">
        <v>136.30000000000001</v>
      </c>
      <c r="M23" s="44">
        <v>11.02</v>
      </c>
      <c r="N23" s="45">
        <f t="shared" si="7"/>
        <v>1.1019999999999999</v>
      </c>
      <c r="O23" s="46">
        <v>276</v>
      </c>
      <c r="P23" s="47">
        <f t="shared" si="0"/>
        <v>1.38</v>
      </c>
      <c r="Q23" s="23">
        <v>2</v>
      </c>
      <c r="R23" s="23">
        <v>0</v>
      </c>
      <c r="S23" s="23">
        <v>0</v>
      </c>
      <c r="T23" s="23">
        <v>183</v>
      </c>
      <c r="U23" s="23">
        <v>9</v>
      </c>
      <c r="V23" s="23">
        <v>6</v>
      </c>
      <c r="W23" s="48">
        <f t="shared" si="1"/>
        <v>192</v>
      </c>
      <c r="X23" s="48">
        <f t="shared" si="2"/>
        <v>8</v>
      </c>
      <c r="Y23" s="23"/>
      <c r="Z23" s="23"/>
      <c r="AA23" s="23"/>
      <c r="AB23" s="52"/>
      <c r="AC23" s="49">
        <f t="shared" si="3"/>
        <v>96</v>
      </c>
      <c r="AD23" s="50">
        <f t="shared" si="4"/>
        <v>1</v>
      </c>
      <c r="AE23" s="50" t="s">
        <v>205</v>
      </c>
      <c r="AF23" s="50" t="s">
        <v>205</v>
      </c>
      <c r="AG23" s="41">
        <v>45941</v>
      </c>
      <c r="AH23" s="43">
        <v>22.7</v>
      </c>
      <c r="AI23" s="51">
        <v>3.62</v>
      </c>
      <c r="AJ23" s="51">
        <v>6</v>
      </c>
      <c r="AK23" s="51">
        <v>0.06</v>
      </c>
      <c r="AL23" s="51">
        <v>2.4</v>
      </c>
      <c r="AM23" s="51">
        <v>0</v>
      </c>
      <c r="AN23" s="51">
        <v>0.05</v>
      </c>
      <c r="AO23" s="51">
        <v>1272</v>
      </c>
      <c r="AP23" s="51">
        <v>979</v>
      </c>
    </row>
    <row r="24" spans="1:42" x14ac:dyDescent="0.4">
      <c r="A24" s="21" t="s">
        <v>249</v>
      </c>
      <c r="B24" s="41">
        <v>45943</v>
      </c>
      <c r="C24" s="41">
        <v>45944</v>
      </c>
      <c r="D24" s="21">
        <v>1</v>
      </c>
      <c r="E24" s="23" t="s">
        <v>200</v>
      </c>
      <c r="F24" s="61">
        <v>0.245</v>
      </c>
      <c r="G24" s="23" t="s">
        <v>250</v>
      </c>
      <c r="H24" s="23" t="s">
        <v>251</v>
      </c>
      <c r="I24" s="23" t="s">
        <v>252</v>
      </c>
      <c r="J24" s="23">
        <v>17</v>
      </c>
      <c r="K24" s="23" t="s">
        <v>204</v>
      </c>
      <c r="L24" s="57">
        <v>108.5</v>
      </c>
      <c r="M24" s="57">
        <v>13.5</v>
      </c>
      <c r="N24" s="62">
        <f t="shared" si="7"/>
        <v>1.35</v>
      </c>
      <c r="O24" s="57">
        <v>235</v>
      </c>
      <c r="P24" s="76">
        <f t="shared" si="0"/>
        <v>1.175</v>
      </c>
      <c r="Q24" s="21">
        <v>0</v>
      </c>
      <c r="R24" s="21">
        <v>1</v>
      </c>
      <c r="S24" s="21">
        <v>3</v>
      </c>
      <c r="T24" s="21">
        <v>93</v>
      </c>
      <c r="U24" s="21">
        <v>0</v>
      </c>
      <c r="V24" s="21">
        <v>3</v>
      </c>
      <c r="W24" s="63">
        <f t="shared" si="1"/>
        <v>93</v>
      </c>
      <c r="X24" s="63">
        <f t="shared" si="2"/>
        <v>7</v>
      </c>
      <c r="AB24" s="79"/>
      <c r="AC24" s="49">
        <f t="shared" si="3"/>
        <v>93</v>
      </c>
      <c r="AD24" s="50">
        <f t="shared" si="4"/>
        <v>1</v>
      </c>
      <c r="AE24" s="50" t="s">
        <v>205</v>
      </c>
      <c r="AF24" s="50" t="s">
        <v>205</v>
      </c>
      <c r="AG24" s="41">
        <v>45943</v>
      </c>
      <c r="AH24" s="43">
        <v>21.9</v>
      </c>
      <c r="AI24" s="51">
        <v>3.57</v>
      </c>
      <c r="AJ24" s="51">
        <v>4.8</v>
      </c>
      <c r="AK24" s="51">
        <v>0.02</v>
      </c>
      <c r="AL24" s="51">
        <v>2.48</v>
      </c>
      <c r="AM24" s="51">
        <v>0</v>
      </c>
      <c r="AN24" s="51">
        <v>0</v>
      </c>
      <c r="AO24" s="51">
        <v>610</v>
      </c>
      <c r="AP24" s="51">
        <v>610</v>
      </c>
    </row>
    <row r="25" spans="1:42" x14ac:dyDescent="0.4">
      <c r="A25" s="21" t="s">
        <v>253</v>
      </c>
      <c r="B25" s="60">
        <v>45946</v>
      </c>
      <c r="C25" s="60">
        <v>45947</v>
      </c>
      <c r="D25" s="23" t="s">
        <v>204</v>
      </c>
      <c r="E25" s="23" t="s">
        <v>200</v>
      </c>
      <c r="F25" s="42" t="s">
        <v>204</v>
      </c>
      <c r="G25" s="23" t="s">
        <v>216</v>
      </c>
      <c r="H25" s="23" t="s">
        <v>254</v>
      </c>
      <c r="I25" s="23" t="s">
        <v>255</v>
      </c>
      <c r="J25" s="23">
        <v>10</v>
      </c>
      <c r="K25" s="23" t="s">
        <v>204</v>
      </c>
      <c r="L25" s="44">
        <v>233.916</v>
      </c>
      <c r="M25" s="44">
        <v>13.06</v>
      </c>
      <c r="N25" s="62">
        <f t="shared" si="7"/>
        <v>1.306</v>
      </c>
      <c r="O25" s="44">
        <v>258</v>
      </c>
      <c r="P25" s="47">
        <f t="shared" si="0"/>
        <v>1.29</v>
      </c>
      <c r="Q25" s="23">
        <v>2</v>
      </c>
      <c r="R25" s="23">
        <v>0</v>
      </c>
      <c r="S25" s="23">
        <v>0</v>
      </c>
      <c r="T25" s="23">
        <v>187</v>
      </c>
      <c r="U25" s="23">
        <v>1</v>
      </c>
      <c r="V25" s="23">
        <v>10</v>
      </c>
      <c r="W25" s="48">
        <f t="shared" si="1"/>
        <v>188</v>
      </c>
      <c r="X25" s="48">
        <f t="shared" si="2"/>
        <v>12</v>
      </c>
      <c r="Y25" s="23"/>
      <c r="Z25" s="23"/>
      <c r="AA25" s="23"/>
      <c r="AB25" s="52"/>
      <c r="AC25" s="49">
        <f t="shared" si="3"/>
        <v>94</v>
      </c>
      <c r="AD25" s="50">
        <f t="shared" si="4"/>
        <v>1</v>
      </c>
      <c r="AE25" s="50" t="s">
        <v>205</v>
      </c>
      <c r="AF25" s="50" t="s">
        <v>205</v>
      </c>
      <c r="AG25" s="41">
        <v>45947</v>
      </c>
      <c r="AH25" s="43">
        <v>23.1</v>
      </c>
      <c r="AI25" s="51">
        <v>3.51</v>
      </c>
      <c r="AJ25" s="51">
        <v>5.25</v>
      </c>
      <c r="AK25" s="51">
        <v>0.11</v>
      </c>
      <c r="AL25" s="52">
        <v>2.06</v>
      </c>
      <c r="AM25" s="52">
        <v>0</v>
      </c>
      <c r="AN25" s="52">
        <v>0</v>
      </c>
      <c r="AO25" s="52">
        <v>1607</v>
      </c>
      <c r="AP25" s="52">
        <v>1112</v>
      </c>
    </row>
    <row r="26" spans="1:42" x14ac:dyDescent="0.4">
      <c r="A26" s="21" t="s">
        <v>256</v>
      </c>
      <c r="B26" s="41">
        <v>45959</v>
      </c>
      <c r="C26" s="41">
        <v>45960</v>
      </c>
      <c r="D26" s="23">
        <v>45</v>
      </c>
      <c r="E26" s="23" t="s">
        <v>200</v>
      </c>
      <c r="F26" s="53">
        <v>20.100000000000001</v>
      </c>
      <c r="G26" s="23" t="s">
        <v>216</v>
      </c>
      <c r="H26" s="21" t="s">
        <v>251</v>
      </c>
      <c r="I26" s="23" t="s">
        <v>257</v>
      </c>
      <c r="J26" s="23">
        <v>19</v>
      </c>
      <c r="K26" s="23" t="s">
        <v>204</v>
      </c>
      <c r="L26" s="44">
        <v>120.5</v>
      </c>
      <c r="M26" s="44">
        <v>10.33</v>
      </c>
      <c r="N26" s="45">
        <f t="shared" si="7"/>
        <v>1.0329999999999999</v>
      </c>
      <c r="O26" s="46">
        <v>153</v>
      </c>
      <c r="P26" s="47">
        <f t="shared" si="0"/>
        <v>0.76500000000000001</v>
      </c>
      <c r="Q26" s="23">
        <v>2</v>
      </c>
      <c r="R26" s="23">
        <v>0</v>
      </c>
      <c r="S26" s="23">
        <v>0</v>
      </c>
      <c r="T26" s="23">
        <v>223</v>
      </c>
      <c r="U26" s="23">
        <v>15</v>
      </c>
      <c r="V26" s="23">
        <v>10</v>
      </c>
      <c r="W26" s="48">
        <f t="shared" si="1"/>
        <v>238</v>
      </c>
      <c r="X26" s="48">
        <f t="shared" si="2"/>
        <v>12</v>
      </c>
      <c r="Y26" s="23"/>
      <c r="Z26" s="23"/>
      <c r="AA26" s="23"/>
      <c r="AB26" s="52"/>
      <c r="AC26" s="49">
        <f t="shared" si="3"/>
        <v>95.199999999999989</v>
      </c>
      <c r="AD26" s="50">
        <f t="shared" si="4"/>
        <v>0.8</v>
      </c>
      <c r="AE26" s="50" t="s">
        <v>205</v>
      </c>
      <c r="AF26" s="50" t="s">
        <v>205</v>
      </c>
      <c r="AG26" s="41">
        <v>45960</v>
      </c>
      <c r="AH26" s="43">
        <v>25</v>
      </c>
      <c r="AI26" s="51">
        <v>3.62</v>
      </c>
      <c r="AJ26" s="52">
        <v>4.5</v>
      </c>
      <c r="AK26" s="51">
        <v>0.05</v>
      </c>
      <c r="AL26" s="52">
        <v>1.9</v>
      </c>
      <c r="AM26" s="52">
        <v>0.01</v>
      </c>
      <c r="AN26" s="52">
        <v>7.0000000000000007E-2</v>
      </c>
      <c r="AO26" s="52">
        <v>994</v>
      </c>
      <c r="AP26" s="52">
        <v>723</v>
      </c>
    </row>
    <row r="27" spans="1:42" x14ac:dyDescent="0.4">
      <c r="A27" s="21" t="s">
        <v>258</v>
      </c>
      <c r="B27" s="41">
        <v>45943</v>
      </c>
      <c r="C27" s="60">
        <v>45944</v>
      </c>
      <c r="D27" s="21">
        <v>23</v>
      </c>
      <c r="E27" s="23" t="s">
        <v>200</v>
      </c>
      <c r="F27" s="61">
        <v>11.797000000000001</v>
      </c>
      <c r="G27" s="23" t="s">
        <v>216</v>
      </c>
      <c r="H27" s="23" t="s">
        <v>259</v>
      </c>
      <c r="I27" s="23" t="s">
        <v>260</v>
      </c>
      <c r="J27" s="23">
        <v>22</v>
      </c>
      <c r="K27" s="23" t="s">
        <v>204</v>
      </c>
      <c r="L27" s="57">
        <v>250.37</v>
      </c>
      <c r="M27" s="57">
        <v>15.1</v>
      </c>
      <c r="N27" s="62">
        <f t="shared" si="7"/>
        <v>1.51</v>
      </c>
      <c r="O27" s="57">
        <v>203</v>
      </c>
      <c r="P27" s="76">
        <f t="shared" si="0"/>
        <v>1.0149999999999999</v>
      </c>
      <c r="Q27" s="21">
        <v>0</v>
      </c>
      <c r="R27" s="21">
        <v>1</v>
      </c>
      <c r="S27" s="21">
        <v>0</v>
      </c>
      <c r="T27" s="21">
        <v>133</v>
      </c>
      <c r="U27" s="21">
        <v>10</v>
      </c>
      <c r="V27" s="21">
        <v>6</v>
      </c>
      <c r="W27" s="63">
        <f t="shared" si="1"/>
        <v>143</v>
      </c>
      <c r="X27" s="63">
        <f t="shared" si="2"/>
        <v>7</v>
      </c>
      <c r="AB27" s="79"/>
      <c r="AC27" s="49">
        <f t="shared" si="3"/>
        <v>95.333333333333343</v>
      </c>
      <c r="AD27" s="50">
        <f t="shared" si="4"/>
        <v>0.66666666666666674</v>
      </c>
      <c r="AE27" s="50" t="s">
        <v>205</v>
      </c>
      <c r="AF27" s="50" t="s">
        <v>205</v>
      </c>
      <c r="AG27" s="41">
        <v>45944</v>
      </c>
      <c r="AH27" s="43">
        <v>25.3</v>
      </c>
      <c r="AI27" s="51">
        <v>3.81</v>
      </c>
      <c r="AJ27" s="51">
        <v>4.5</v>
      </c>
      <c r="AK27" s="51">
        <v>0.74</v>
      </c>
      <c r="AL27" s="51">
        <v>2.35</v>
      </c>
      <c r="AM27" s="51">
        <v>0.42</v>
      </c>
      <c r="AN27" s="51">
        <v>0.16</v>
      </c>
      <c r="AO27" s="51">
        <v>1261</v>
      </c>
      <c r="AP27" s="51">
        <v>903</v>
      </c>
    </row>
    <row r="28" spans="1:42" x14ac:dyDescent="0.4">
      <c r="A28" s="23" t="s">
        <v>261</v>
      </c>
      <c r="B28" s="41">
        <v>45897</v>
      </c>
      <c r="C28" s="41">
        <v>45898</v>
      </c>
      <c r="D28" s="21">
        <v>218</v>
      </c>
      <c r="E28" s="23" t="s">
        <v>220</v>
      </c>
      <c r="F28" s="56">
        <v>3.8149999999999999</v>
      </c>
      <c r="G28" s="21" t="s">
        <v>201</v>
      </c>
      <c r="H28" s="21" t="s">
        <v>202</v>
      </c>
      <c r="I28" s="21" t="s">
        <v>262</v>
      </c>
      <c r="J28" s="43">
        <v>10</v>
      </c>
      <c r="K28" s="43" t="s">
        <v>204</v>
      </c>
      <c r="L28" s="57">
        <v>212.87</v>
      </c>
      <c r="M28" s="57">
        <v>13.9</v>
      </c>
      <c r="N28" s="45">
        <f t="shared" si="7"/>
        <v>1.3900000000000001</v>
      </c>
      <c r="O28" s="58">
        <v>162</v>
      </c>
      <c r="P28" s="47">
        <f t="shared" si="0"/>
        <v>0.81</v>
      </c>
      <c r="Q28" s="21">
        <v>1</v>
      </c>
      <c r="R28" s="21">
        <v>0</v>
      </c>
      <c r="S28" s="21">
        <v>2</v>
      </c>
      <c r="T28" s="21">
        <v>131</v>
      </c>
      <c r="U28" s="21">
        <v>63</v>
      </c>
      <c r="V28" s="21">
        <v>3</v>
      </c>
      <c r="W28" s="48">
        <f t="shared" si="1"/>
        <v>194</v>
      </c>
      <c r="X28" s="48">
        <f t="shared" si="2"/>
        <v>6</v>
      </c>
      <c r="Y28" s="23" t="s">
        <v>204</v>
      </c>
      <c r="Z28" s="23" t="s">
        <v>204</v>
      </c>
      <c r="AA28" s="23" t="s">
        <v>204</v>
      </c>
      <c r="AB28" s="23" t="s">
        <v>204</v>
      </c>
      <c r="AC28" s="49">
        <f t="shared" si="3"/>
        <v>97</v>
      </c>
      <c r="AD28" s="50">
        <f t="shared" si="4"/>
        <v>0.5</v>
      </c>
      <c r="AE28" s="50" t="s">
        <v>205</v>
      </c>
      <c r="AF28" s="50" t="s">
        <v>205</v>
      </c>
      <c r="AG28" s="41">
        <f t="shared" ref="AG28:AG75" si="8">C28</f>
        <v>45898</v>
      </c>
      <c r="AH28" s="43">
        <v>24.6</v>
      </c>
      <c r="AI28" s="51">
        <v>3.59</v>
      </c>
      <c r="AJ28" s="52">
        <v>6.15</v>
      </c>
      <c r="AK28" s="51">
        <v>0.01</v>
      </c>
      <c r="AL28" s="52">
        <v>1.37</v>
      </c>
      <c r="AM28" s="52" t="s">
        <v>206</v>
      </c>
      <c r="AN28" s="52">
        <v>0</v>
      </c>
      <c r="AO28" s="52" t="s">
        <v>204</v>
      </c>
      <c r="AP28" s="52" t="s">
        <v>204</v>
      </c>
    </row>
    <row r="29" spans="1:42" x14ac:dyDescent="0.4">
      <c r="A29" s="23" t="s">
        <v>263</v>
      </c>
      <c r="B29" s="41">
        <v>45875</v>
      </c>
      <c r="C29" s="41">
        <v>45876</v>
      </c>
      <c r="D29" s="23">
        <v>39</v>
      </c>
      <c r="E29" s="23" t="s">
        <v>200</v>
      </c>
      <c r="F29" s="42">
        <v>14.564</v>
      </c>
      <c r="G29" s="23" t="s">
        <v>201</v>
      </c>
      <c r="H29" s="23" t="s">
        <v>202</v>
      </c>
      <c r="I29" s="23" t="s">
        <v>242</v>
      </c>
      <c r="J29" s="43">
        <v>5</v>
      </c>
      <c r="K29" s="43" t="s">
        <v>204</v>
      </c>
      <c r="L29" s="44">
        <v>155.41</v>
      </c>
      <c r="M29" s="44">
        <f t="shared" ref="M29:M40" si="9">N29*10</f>
        <v>13.440000000000001</v>
      </c>
      <c r="N29" s="45">
        <v>1.3440000000000001</v>
      </c>
      <c r="O29" s="46">
        <v>229</v>
      </c>
      <c r="P29" s="47">
        <f t="shared" si="0"/>
        <v>1.145</v>
      </c>
      <c r="Q29" s="23">
        <v>0</v>
      </c>
      <c r="R29" s="23">
        <v>0</v>
      </c>
      <c r="S29" s="23">
        <v>1</v>
      </c>
      <c r="T29" s="23">
        <v>186</v>
      </c>
      <c r="U29" s="23">
        <v>0</v>
      </c>
      <c r="V29" s="23">
        <v>13</v>
      </c>
      <c r="W29" s="48">
        <f t="shared" si="1"/>
        <v>186</v>
      </c>
      <c r="X29" s="48">
        <f t="shared" si="2"/>
        <v>14</v>
      </c>
      <c r="Y29" s="23" t="s">
        <v>204</v>
      </c>
      <c r="Z29" s="23" t="s">
        <v>204</v>
      </c>
      <c r="AA29" s="23" t="s">
        <v>204</v>
      </c>
      <c r="AB29" s="23" t="s">
        <v>204</v>
      </c>
      <c r="AC29" s="49">
        <f t="shared" si="3"/>
        <v>93</v>
      </c>
      <c r="AD29" s="50">
        <f t="shared" si="4"/>
        <v>0</v>
      </c>
      <c r="AE29" s="50" t="s">
        <v>205</v>
      </c>
      <c r="AF29" s="50" t="s">
        <v>205</v>
      </c>
      <c r="AG29" s="41">
        <f t="shared" si="8"/>
        <v>45876</v>
      </c>
      <c r="AH29" s="43">
        <v>19.600000000000001</v>
      </c>
      <c r="AI29" s="51">
        <v>3.19</v>
      </c>
      <c r="AJ29" s="52">
        <v>9</v>
      </c>
      <c r="AK29" s="51">
        <v>0</v>
      </c>
      <c r="AL29" s="52">
        <v>3.4</v>
      </c>
      <c r="AM29" s="52" t="s">
        <v>206</v>
      </c>
      <c r="AN29" s="52">
        <v>0.05</v>
      </c>
      <c r="AO29" s="52" t="s">
        <v>204</v>
      </c>
      <c r="AP29" s="52" t="s">
        <v>204</v>
      </c>
    </row>
    <row r="30" spans="1:42" x14ac:dyDescent="0.4">
      <c r="A30" s="23" t="s">
        <v>264</v>
      </c>
      <c r="B30" s="41">
        <v>45881</v>
      </c>
      <c r="C30" s="41">
        <v>45882</v>
      </c>
      <c r="D30" s="23">
        <v>9</v>
      </c>
      <c r="E30" s="23" t="s">
        <v>200</v>
      </c>
      <c r="F30" s="53">
        <v>3.585</v>
      </c>
      <c r="G30" s="23" t="s">
        <v>201</v>
      </c>
      <c r="H30" s="23" t="s">
        <v>202</v>
      </c>
      <c r="I30" s="23" t="s">
        <v>242</v>
      </c>
      <c r="J30" s="43">
        <v>6</v>
      </c>
      <c r="K30" s="43" t="s">
        <v>204</v>
      </c>
      <c r="L30" s="44">
        <v>163.5</v>
      </c>
      <c r="M30" s="44">
        <f t="shared" si="9"/>
        <v>13.93</v>
      </c>
      <c r="N30" s="45">
        <v>1.393</v>
      </c>
      <c r="O30" s="46">
        <v>316</v>
      </c>
      <c r="P30" s="47">
        <f t="shared" si="0"/>
        <v>1.58</v>
      </c>
      <c r="Q30" s="23">
        <v>0</v>
      </c>
      <c r="R30" s="23">
        <v>0</v>
      </c>
      <c r="S30" s="23">
        <v>0</v>
      </c>
      <c r="T30" s="23">
        <v>96</v>
      </c>
      <c r="U30" s="23">
        <v>4</v>
      </c>
      <c r="V30" s="23">
        <v>0</v>
      </c>
      <c r="W30" s="48">
        <f t="shared" si="1"/>
        <v>100</v>
      </c>
      <c r="X30" s="48">
        <f t="shared" si="2"/>
        <v>0</v>
      </c>
      <c r="Y30" s="23" t="s">
        <v>204</v>
      </c>
      <c r="Z30" s="23" t="s">
        <v>204</v>
      </c>
      <c r="AA30" s="23" t="s">
        <v>204</v>
      </c>
      <c r="AB30" s="23" t="s">
        <v>204</v>
      </c>
      <c r="AC30" s="49">
        <f t="shared" si="3"/>
        <v>100</v>
      </c>
      <c r="AD30" s="50">
        <f t="shared" si="4"/>
        <v>0</v>
      </c>
      <c r="AE30" s="50" t="s">
        <v>205</v>
      </c>
      <c r="AF30" s="50" t="s">
        <v>205</v>
      </c>
      <c r="AG30" s="41">
        <f t="shared" si="8"/>
        <v>45882</v>
      </c>
      <c r="AH30" s="43">
        <v>21.9</v>
      </c>
      <c r="AI30" s="51">
        <v>3.22</v>
      </c>
      <c r="AJ30" s="52">
        <v>8.25</v>
      </c>
      <c r="AK30" s="51">
        <v>0</v>
      </c>
      <c r="AL30" s="52">
        <v>2.56</v>
      </c>
      <c r="AM30" s="52" t="s">
        <v>206</v>
      </c>
      <c r="AN30" s="52">
        <v>0.03</v>
      </c>
      <c r="AO30" s="52" t="s">
        <v>204</v>
      </c>
      <c r="AP30" s="52" t="s">
        <v>204</v>
      </c>
    </row>
    <row r="31" spans="1:42" x14ac:dyDescent="0.4">
      <c r="A31" s="23" t="s">
        <v>265</v>
      </c>
      <c r="B31" s="41">
        <v>45881</v>
      </c>
      <c r="C31" s="41">
        <v>45882</v>
      </c>
      <c r="D31" s="23">
        <v>33</v>
      </c>
      <c r="E31" s="23" t="s">
        <v>200</v>
      </c>
      <c r="F31" s="53">
        <v>12.898999999999999</v>
      </c>
      <c r="G31" s="23" t="s">
        <v>201</v>
      </c>
      <c r="H31" s="23" t="s">
        <v>202</v>
      </c>
      <c r="I31" s="23" t="s">
        <v>203</v>
      </c>
      <c r="J31" s="43">
        <v>3.1</v>
      </c>
      <c r="K31" s="43" t="s">
        <v>204</v>
      </c>
      <c r="L31" s="44">
        <v>152.16</v>
      </c>
      <c r="M31" s="44">
        <f t="shared" si="9"/>
        <v>12.940000000000001</v>
      </c>
      <c r="N31" s="45">
        <v>1.294</v>
      </c>
      <c r="O31" s="46">
        <v>242</v>
      </c>
      <c r="P31" s="47">
        <f t="shared" si="0"/>
        <v>1.21</v>
      </c>
      <c r="Q31" s="23">
        <v>0</v>
      </c>
      <c r="R31" s="23">
        <v>0</v>
      </c>
      <c r="S31" s="23">
        <v>6</v>
      </c>
      <c r="T31" s="23">
        <v>152</v>
      </c>
      <c r="U31" s="23">
        <v>35</v>
      </c>
      <c r="V31" s="23">
        <v>7</v>
      </c>
      <c r="W31" s="48">
        <f t="shared" si="1"/>
        <v>187</v>
      </c>
      <c r="X31" s="48">
        <f t="shared" si="2"/>
        <v>13</v>
      </c>
      <c r="Y31" s="23" t="s">
        <v>204</v>
      </c>
      <c r="Z31" s="23" t="s">
        <v>204</v>
      </c>
      <c r="AA31" s="23" t="s">
        <v>204</v>
      </c>
      <c r="AB31" s="23" t="s">
        <v>204</v>
      </c>
      <c r="AC31" s="49">
        <f t="shared" si="3"/>
        <v>93.5</v>
      </c>
      <c r="AD31" s="50">
        <f t="shared" si="4"/>
        <v>0</v>
      </c>
      <c r="AE31" s="50" t="s">
        <v>205</v>
      </c>
      <c r="AF31" s="50" t="s">
        <v>205</v>
      </c>
      <c r="AG31" s="41">
        <f t="shared" si="8"/>
        <v>45882</v>
      </c>
      <c r="AH31" s="43">
        <v>20.9</v>
      </c>
      <c r="AI31" s="51">
        <v>3.18</v>
      </c>
      <c r="AJ31" s="52">
        <v>7.5</v>
      </c>
      <c r="AK31" s="51">
        <v>0</v>
      </c>
      <c r="AL31" s="52">
        <v>2.33</v>
      </c>
      <c r="AM31" s="52" t="s">
        <v>206</v>
      </c>
      <c r="AN31" s="23">
        <v>0.02</v>
      </c>
      <c r="AO31" s="52" t="s">
        <v>204</v>
      </c>
      <c r="AP31" s="52" t="s">
        <v>204</v>
      </c>
    </row>
    <row r="32" spans="1:42" x14ac:dyDescent="0.4">
      <c r="A32" s="23" t="s">
        <v>266</v>
      </c>
      <c r="B32" s="41">
        <v>45882</v>
      </c>
      <c r="C32" s="41">
        <v>45883</v>
      </c>
      <c r="D32" s="23">
        <v>41</v>
      </c>
      <c r="E32" s="23" t="s">
        <v>200</v>
      </c>
      <c r="F32" s="53">
        <v>15.712999999999999</v>
      </c>
      <c r="G32" s="23" t="s">
        <v>201</v>
      </c>
      <c r="H32" s="23" t="s">
        <v>202</v>
      </c>
      <c r="I32" s="23" t="s">
        <v>267</v>
      </c>
      <c r="J32" s="43">
        <v>5.9</v>
      </c>
      <c r="K32" s="43" t="s">
        <v>204</v>
      </c>
      <c r="L32" s="44">
        <v>186.67</v>
      </c>
      <c r="M32" s="44">
        <f t="shared" si="9"/>
        <v>14</v>
      </c>
      <c r="N32" s="45">
        <v>1.4</v>
      </c>
      <c r="O32" s="46">
        <v>282</v>
      </c>
      <c r="P32" s="47">
        <f t="shared" si="0"/>
        <v>1.41</v>
      </c>
      <c r="Q32" s="23">
        <v>0</v>
      </c>
      <c r="R32" s="23">
        <v>0</v>
      </c>
      <c r="S32" s="23">
        <v>1</v>
      </c>
      <c r="T32" s="23">
        <v>151</v>
      </c>
      <c r="U32" s="23">
        <v>38</v>
      </c>
      <c r="V32" s="23">
        <v>10</v>
      </c>
      <c r="W32" s="48">
        <f t="shared" si="1"/>
        <v>189</v>
      </c>
      <c r="X32" s="48">
        <f t="shared" si="2"/>
        <v>11</v>
      </c>
      <c r="Y32" s="23" t="s">
        <v>204</v>
      </c>
      <c r="Z32" s="23" t="s">
        <v>204</v>
      </c>
      <c r="AA32" s="23" t="s">
        <v>204</v>
      </c>
      <c r="AB32" s="23" t="s">
        <v>204</v>
      </c>
      <c r="AC32" s="49">
        <f t="shared" si="3"/>
        <v>94.5</v>
      </c>
      <c r="AD32" s="50">
        <f t="shared" si="4"/>
        <v>0</v>
      </c>
      <c r="AE32" s="50" t="s">
        <v>205</v>
      </c>
      <c r="AF32" s="50" t="s">
        <v>205</v>
      </c>
      <c r="AG32" s="41">
        <f t="shared" si="8"/>
        <v>45883</v>
      </c>
      <c r="AH32" s="43">
        <v>22.6</v>
      </c>
      <c r="AI32" s="51">
        <v>3.31</v>
      </c>
      <c r="AJ32" s="52">
        <v>7.8</v>
      </c>
      <c r="AK32" s="51">
        <v>0</v>
      </c>
      <c r="AL32" s="52">
        <v>2.5499999999999998</v>
      </c>
      <c r="AM32" s="52" t="s">
        <v>206</v>
      </c>
      <c r="AN32" s="52">
        <v>0</v>
      </c>
      <c r="AO32" s="52" t="s">
        <v>204</v>
      </c>
      <c r="AP32" s="52" t="s">
        <v>204</v>
      </c>
    </row>
    <row r="33" spans="1:42" x14ac:dyDescent="0.4">
      <c r="A33" s="23" t="s">
        <v>268</v>
      </c>
      <c r="B33" s="41">
        <v>45883</v>
      </c>
      <c r="C33" s="41">
        <v>45884</v>
      </c>
      <c r="D33" s="23">
        <v>151</v>
      </c>
      <c r="E33" s="23" t="s">
        <v>220</v>
      </c>
      <c r="F33" s="42">
        <v>2.6539999999999999</v>
      </c>
      <c r="G33" s="23" t="s">
        <v>201</v>
      </c>
      <c r="H33" s="23" t="s">
        <v>202</v>
      </c>
      <c r="I33" s="23" t="s">
        <v>269</v>
      </c>
      <c r="J33" s="43">
        <v>12</v>
      </c>
      <c r="K33" s="43" t="s">
        <v>204</v>
      </c>
      <c r="L33" s="46">
        <v>140.5</v>
      </c>
      <c r="M33" s="44">
        <f t="shared" si="9"/>
        <v>13.5</v>
      </c>
      <c r="N33" s="45">
        <v>1.35</v>
      </c>
      <c r="O33" s="46">
        <v>242</v>
      </c>
      <c r="P33" s="47">
        <f t="shared" si="0"/>
        <v>1.21</v>
      </c>
      <c r="Q33" s="23">
        <v>0</v>
      </c>
      <c r="R33" s="23">
        <v>0</v>
      </c>
      <c r="S33" s="23">
        <v>0</v>
      </c>
      <c r="T33" s="23">
        <v>118</v>
      </c>
      <c r="U33" s="23">
        <v>27</v>
      </c>
      <c r="V33" s="23">
        <v>5</v>
      </c>
      <c r="W33" s="48">
        <f t="shared" si="1"/>
        <v>145</v>
      </c>
      <c r="X33" s="48">
        <f t="shared" si="2"/>
        <v>5</v>
      </c>
      <c r="Y33" s="23" t="s">
        <v>204</v>
      </c>
      <c r="Z33" s="23" t="s">
        <v>204</v>
      </c>
      <c r="AA33" s="23" t="s">
        <v>204</v>
      </c>
      <c r="AB33" s="23" t="s">
        <v>204</v>
      </c>
      <c r="AC33" s="49">
        <f t="shared" si="3"/>
        <v>96.666666666666671</v>
      </c>
      <c r="AD33" s="50">
        <f t="shared" si="4"/>
        <v>0</v>
      </c>
      <c r="AE33" s="50" t="s">
        <v>205</v>
      </c>
      <c r="AF33" s="50" t="s">
        <v>205</v>
      </c>
      <c r="AG33" s="41">
        <f t="shared" si="8"/>
        <v>45884</v>
      </c>
      <c r="AH33" s="23">
        <v>22.6</v>
      </c>
      <c r="AI33" s="23">
        <v>3.25</v>
      </c>
      <c r="AJ33" s="55">
        <v>8.25</v>
      </c>
      <c r="AK33" s="51">
        <v>0</v>
      </c>
      <c r="AL33" s="55">
        <v>2.93</v>
      </c>
      <c r="AM33" s="52" t="s">
        <v>206</v>
      </c>
      <c r="AN33" s="52">
        <v>0.01</v>
      </c>
      <c r="AO33" s="52" t="s">
        <v>204</v>
      </c>
      <c r="AP33" s="52" t="s">
        <v>204</v>
      </c>
    </row>
    <row r="34" spans="1:42" x14ac:dyDescent="0.4">
      <c r="A34" s="23" t="s">
        <v>270</v>
      </c>
      <c r="B34" s="41">
        <v>45884</v>
      </c>
      <c r="C34" s="41">
        <v>45885</v>
      </c>
      <c r="D34" s="23">
        <v>29</v>
      </c>
      <c r="E34" s="23" t="s">
        <v>200</v>
      </c>
      <c r="F34" s="42">
        <v>11.007999999999999</v>
      </c>
      <c r="G34" s="23" t="s">
        <v>201</v>
      </c>
      <c r="H34" s="23" t="s">
        <v>202</v>
      </c>
      <c r="I34" s="23" t="s">
        <v>271</v>
      </c>
      <c r="J34" s="43">
        <v>14</v>
      </c>
      <c r="K34" s="43" t="s">
        <v>204</v>
      </c>
      <c r="L34" s="46">
        <v>223.75</v>
      </c>
      <c r="M34" s="44">
        <f t="shared" si="9"/>
        <v>12.9</v>
      </c>
      <c r="N34" s="45">
        <v>1.29</v>
      </c>
      <c r="O34" s="46">
        <v>305</v>
      </c>
      <c r="P34" s="47">
        <f t="shared" si="0"/>
        <v>1.5249999999999999</v>
      </c>
      <c r="Q34" s="23">
        <v>0</v>
      </c>
      <c r="R34" s="23">
        <v>0</v>
      </c>
      <c r="S34" s="23">
        <v>0</v>
      </c>
      <c r="T34" s="23">
        <v>194</v>
      </c>
      <c r="U34" s="23">
        <v>0</v>
      </c>
      <c r="V34" s="23">
        <v>6</v>
      </c>
      <c r="W34" s="48">
        <f t="shared" si="1"/>
        <v>194</v>
      </c>
      <c r="X34" s="48">
        <f t="shared" si="2"/>
        <v>6</v>
      </c>
      <c r="Y34" s="23" t="s">
        <v>204</v>
      </c>
      <c r="Z34" s="23" t="s">
        <v>204</v>
      </c>
      <c r="AA34" s="23" t="s">
        <v>204</v>
      </c>
      <c r="AB34" s="23" t="s">
        <v>204</v>
      </c>
      <c r="AC34" s="49">
        <f t="shared" si="3"/>
        <v>97</v>
      </c>
      <c r="AD34" s="50">
        <f t="shared" si="4"/>
        <v>0</v>
      </c>
      <c r="AE34" s="50" t="s">
        <v>205</v>
      </c>
      <c r="AF34" s="50" t="s">
        <v>205</v>
      </c>
      <c r="AG34" s="41">
        <f t="shared" si="8"/>
        <v>45885</v>
      </c>
      <c r="AH34" s="23">
        <v>23.3</v>
      </c>
      <c r="AI34" s="23">
        <v>3.31</v>
      </c>
      <c r="AJ34" s="55">
        <v>7.95</v>
      </c>
      <c r="AK34" s="23">
        <v>0.01</v>
      </c>
      <c r="AL34" s="55">
        <v>2.48</v>
      </c>
      <c r="AM34" s="52" t="s">
        <v>206</v>
      </c>
      <c r="AN34" s="52">
        <v>0.01</v>
      </c>
      <c r="AO34" s="52" t="s">
        <v>204</v>
      </c>
      <c r="AP34" s="52" t="s">
        <v>204</v>
      </c>
    </row>
    <row r="35" spans="1:42" x14ac:dyDescent="0.4">
      <c r="A35" s="23" t="s">
        <v>272</v>
      </c>
      <c r="B35" s="41">
        <v>45884</v>
      </c>
      <c r="C35" s="41">
        <v>45885</v>
      </c>
      <c r="D35" s="23">
        <v>13</v>
      </c>
      <c r="E35" s="23" t="s">
        <v>200</v>
      </c>
      <c r="F35" s="42">
        <v>5.1260000000000003</v>
      </c>
      <c r="G35" s="23" t="s">
        <v>201</v>
      </c>
      <c r="H35" s="23" t="s">
        <v>202</v>
      </c>
      <c r="I35" s="23" t="s">
        <v>273</v>
      </c>
      <c r="J35" s="43">
        <v>13</v>
      </c>
      <c r="K35" s="43" t="s">
        <v>204</v>
      </c>
      <c r="L35" s="46">
        <v>188.8</v>
      </c>
      <c r="M35" s="44">
        <f t="shared" si="9"/>
        <v>12.3</v>
      </c>
      <c r="N35" s="45">
        <v>1.23</v>
      </c>
      <c r="O35" s="46">
        <v>400</v>
      </c>
      <c r="P35" s="47">
        <f t="shared" si="0"/>
        <v>2</v>
      </c>
      <c r="Q35" s="23">
        <v>0</v>
      </c>
      <c r="R35" s="23">
        <v>0</v>
      </c>
      <c r="S35" s="23">
        <v>0</v>
      </c>
      <c r="T35" s="23">
        <v>178</v>
      </c>
      <c r="U35" s="23">
        <v>22</v>
      </c>
      <c r="V35" s="23">
        <v>0</v>
      </c>
      <c r="W35" s="48">
        <f t="shared" si="1"/>
        <v>200</v>
      </c>
      <c r="X35" s="48">
        <f t="shared" si="2"/>
        <v>0</v>
      </c>
      <c r="Y35" s="23" t="s">
        <v>204</v>
      </c>
      <c r="Z35" s="23" t="s">
        <v>204</v>
      </c>
      <c r="AA35" s="23" t="s">
        <v>204</v>
      </c>
      <c r="AB35" s="23" t="s">
        <v>204</v>
      </c>
      <c r="AC35" s="49">
        <f t="shared" si="3"/>
        <v>100</v>
      </c>
      <c r="AD35" s="50">
        <f t="shared" si="4"/>
        <v>0</v>
      </c>
      <c r="AE35" s="50" t="s">
        <v>205</v>
      </c>
      <c r="AF35" s="50" t="s">
        <v>205</v>
      </c>
      <c r="AG35" s="41">
        <f t="shared" si="8"/>
        <v>45885</v>
      </c>
      <c r="AH35" s="23">
        <v>21.5</v>
      </c>
      <c r="AI35" s="23">
        <v>3.18</v>
      </c>
      <c r="AJ35" s="55">
        <v>8.1</v>
      </c>
      <c r="AK35" s="51">
        <v>0</v>
      </c>
      <c r="AL35" s="55">
        <v>1.92</v>
      </c>
      <c r="AM35" s="52" t="s">
        <v>206</v>
      </c>
      <c r="AN35" s="52">
        <v>0.01</v>
      </c>
      <c r="AO35" s="52" t="s">
        <v>204</v>
      </c>
      <c r="AP35" s="52" t="s">
        <v>204</v>
      </c>
    </row>
    <row r="36" spans="1:42" x14ac:dyDescent="0.4">
      <c r="A36" s="23" t="s">
        <v>274</v>
      </c>
      <c r="B36" s="41">
        <v>45885</v>
      </c>
      <c r="C36" s="41">
        <v>45886</v>
      </c>
      <c r="D36" s="23">
        <v>21</v>
      </c>
      <c r="E36" s="23" t="s">
        <v>200</v>
      </c>
      <c r="F36" s="42">
        <v>8.0169999999999995</v>
      </c>
      <c r="G36" s="23" t="s">
        <v>201</v>
      </c>
      <c r="H36" s="23" t="s">
        <v>202</v>
      </c>
      <c r="I36" s="23" t="s">
        <v>275</v>
      </c>
      <c r="J36" s="43">
        <v>16</v>
      </c>
      <c r="K36" s="43" t="s">
        <v>204</v>
      </c>
      <c r="L36" s="46">
        <v>259.5</v>
      </c>
      <c r="M36" s="44">
        <f t="shared" si="9"/>
        <v>13.72</v>
      </c>
      <c r="N36" s="45">
        <v>1.3720000000000001</v>
      </c>
      <c r="O36" s="46">
        <v>292</v>
      </c>
      <c r="P36" s="47">
        <f t="shared" si="0"/>
        <v>1.46</v>
      </c>
      <c r="Q36" s="23">
        <v>0</v>
      </c>
      <c r="R36" s="23">
        <v>0</v>
      </c>
      <c r="S36" s="23">
        <v>0</v>
      </c>
      <c r="T36" s="23">
        <v>130</v>
      </c>
      <c r="U36" s="23">
        <v>20</v>
      </c>
      <c r="V36" s="23">
        <v>0</v>
      </c>
      <c r="W36" s="48">
        <f t="shared" si="1"/>
        <v>150</v>
      </c>
      <c r="X36" s="48">
        <f t="shared" si="2"/>
        <v>0</v>
      </c>
      <c r="Y36" s="23" t="s">
        <v>204</v>
      </c>
      <c r="Z36" s="23" t="s">
        <v>204</v>
      </c>
      <c r="AA36" s="23" t="s">
        <v>204</v>
      </c>
      <c r="AB36" s="23" t="s">
        <v>204</v>
      </c>
      <c r="AC36" s="49">
        <f t="shared" si="3"/>
        <v>100</v>
      </c>
      <c r="AD36" s="50">
        <f t="shared" si="4"/>
        <v>0</v>
      </c>
      <c r="AE36" s="50" t="s">
        <v>205</v>
      </c>
      <c r="AF36" s="50" t="s">
        <v>205</v>
      </c>
      <c r="AG36" s="41">
        <f t="shared" si="8"/>
        <v>45886</v>
      </c>
      <c r="AH36" s="23">
        <v>20.5</v>
      </c>
      <c r="AI36" s="23">
        <v>3.28</v>
      </c>
      <c r="AJ36" s="55">
        <v>7.65</v>
      </c>
      <c r="AK36" s="23">
        <v>0.01</v>
      </c>
      <c r="AL36" s="55">
        <v>2.69</v>
      </c>
      <c r="AM36" s="52" t="s">
        <v>206</v>
      </c>
      <c r="AN36" s="52">
        <v>0.01</v>
      </c>
      <c r="AO36" s="52" t="s">
        <v>204</v>
      </c>
      <c r="AP36" s="52" t="s">
        <v>204</v>
      </c>
    </row>
    <row r="37" spans="1:42" x14ac:dyDescent="0.4">
      <c r="A37" s="23" t="s">
        <v>276</v>
      </c>
      <c r="B37" s="41">
        <v>45885</v>
      </c>
      <c r="C37" s="41">
        <v>45886</v>
      </c>
      <c r="D37" s="23">
        <v>5</v>
      </c>
      <c r="E37" s="23" t="s">
        <v>200</v>
      </c>
      <c r="F37" s="42">
        <v>1.915</v>
      </c>
      <c r="G37" s="23" t="s">
        <v>201</v>
      </c>
      <c r="H37" s="23" t="s">
        <v>202</v>
      </c>
      <c r="I37" s="23" t="s">
        <v>277</v>
      </c>
      <c r="J37" s="43">
        <v>15</v>
      </c>
      <c r="K37" s="43" t="s">
        <v>204</v>
      </c>
      <c r="L37" s="46">
        <v>193.25</v>
      </c>
      <c r="M37" s="44">
        <f t="shared" si="9"/>
        <v>11.299999999999999</v>
      </c>
      <c r="N37" s="45">
        <v>1.1299999999999999</v>
      </c>
      <c r="O37" s="46">
        <v>226</v>
      </c>
      <c r="P37" s="47">
        <f t="shared" si="0"/>
        <v>1.1299999999999999</v>
      </c>
      <c r="Q37" s="23">
        <v>0</v>
      </c>
      <c r="R37" s="23">
        <v>0</v>
      </c>
      <c r="S37" s="23">
        <v>0</v>
      </c>
      <c r="T37" s="23">
        <v>125</v>
      </c>
      <c r="U37" s="23">
        <v>25</v>
      </c>
      <c r="V37" s="23">
        <v>0</v>
      </c>
      <c r="W37" s="48">
        <f t="shared" si="1"/>
        <v>150</v>
      </c>
      <c r="X37" s="48">
        <f t="shared" si="2"/>
        <v>0</v>
      </c>
      <c r="Y37" s="23" t="s">
        <v>204</v>
      </c>
      <c r="Z37" s="23" t="s">
        <v>204</v>
      </c>
      <c r="AA37" s="23" t="s">
        <v>204</v>
      </c>
      <c r="AB37" s="23" t="s">
        <v>204</v>
      </c>
      <c r="AC37" s="49">
        <f t="shared" si="3"/>
        <v>100</v>
      </c>
      <c r="AD37" s="50">
        <f t="shared" si="4"/>
        <v>0</v>
      </c>
      <c r="AE37" s="50" t="s">
        <v>205</v>
      </c>
      <c r="AF37" s="50" t="s">
        <v>205</v>
      </c>
      <c r="AG37" s="41">
        <f t="shared" si="8"/>
        <v>45886</v>
      </c>
      <c r="AH37" s="23">
        <v>20.7</v>
      </c>
      <c r="AI37" s="23">
        <v>3.23</v>
      </c>
      <c r="AJ37" s="55">
        <v>7.95</v>
      </c>
      <c r="AK37" s="23">
        <v>0.04</v>
      </c>
      <c r="AL37" s="55">
        <v>2.09</v>
      </c>
      <c r="AM37" s="52" t="s">
        <v>206</v>
      </c>
      <c r="AN37" s="52">
        <v>0.01</v>
      </c>
      <c r="AO37" s="52" t="s">
        <v>204</v>
      </c>
      <c r="AP37" s="52" t="s">
        <v>204</v>
      </c>
    </row>
    <row r="38" spans="1:42" x14ac:dyDescent="0.4">
      <c r="A38" s="23" t="s">
        <v>278</v>
      </c>
      <c r="B38" s="41">
        <v>45885</v>
      </c>
      <c r="C38" s="41">
        <v>45886</v>
      </c>
      <c r="D38" s="21">
        <v>16</v>
      </c>
      <c r="E38" s="23" t="s">
        <v>200</v>
      </c>
      <c r="F38" s="56">
        <v>5.9969999999999999</v>
      </c>
      <c r="G38" s="23" t="s">
        <v>201</v>
      </c>
      <c r="H38" s="23" t="s">
        <v>202</v>
      </c>
      <c r="I38" s="21" t="s">
        <v>273</v>
      </c>
      <c r="J38" s="43">
        <v>14.5</v>
      </c>
      <c r="K38" s="43" t="s">
        <v>204</v>
      </c>
      <c r="L38" s="57">
        <v>198.25</v>
      </c>
      <c r="M38" s="44">
        <f t="shared" si="9"/>
        <v>13.07</v>
      </c>
      <c r="N38" s="45">
        <v>1.3069999999999999</v>
      </c>
      <c r="O38" s="58">
        <v>273</v>
      </c>
      <c r="P38" s="47">
        <f t="shared" ref="P38:P69" si="10">O38/200</f>
        <v>1.365</v>
      </c>
      <c r="Q38" s="21">
        <v>0</v>
      </c>
      <c r="R38" s="21">
        <v>0</v>
      </c>
      <c r="S38" s="21">
        <v>0</v>
      </c>
      <c r="T38" s="21">
        <v>95</v>
      </c>
      <c r="U38" s="21">
        <v>52</v>
      </c>
      <c r="V38" s="21">
        <v>3</v>
      </c>
      <c r="W38" s="48">
        <f t="shared" ref="W38:W69" si="11">SUM(T38,U38)</f>
        <v>147</v>
      </c>
      <c r="X38" s="48">
        <f t="shared" ref="X38:X69" si="12">SUM(Q38,R38,S38,V38)</f>
        <v>3</v>
      </c>
      <c r="Y38" s="23" t="s">
        <v>204</v>
      </c>
      <c r="Z38" s="23" t="s">
        <v>204</v>
      </c>
      <c r="AA38" s="23" t="s">
        <v>204</v>
      </c>
      <c r="AB38" s="23" t="s">
        <v>204</v>
      </c>
      <c r="AC38" s="49">
        <f t="shared" ref="AC38:AC69" si="13">(W38/(W38+X38))*100</f>
        <v>98</v>
      </c>
      <c r="AD38" s="50">
        <f t="shared" ref="AD38:AD69" si="14">((Q38+R38)/(W38+X38))*100</f>
        <v>0</v>
      </c>
      <c r="AE38" s="50" t="s">
        <v>205</v>
      </c>
      <c r="AF38" s="50" t="s">
        <v>205</v>
      </c>
      <c r="AG38" s="41">
        <f t="shared" si="8"/>
        <v>45886</v>
      </c>
      <c r="AH38" s="23">
        <v>21.6</v>
      </c>
      <c r="AI38" s="23">
        <v>3.23</v>
      </c>
      <c r="AJ38" s="55">
        <v>7.2</v>
      </c>
      <c r="AK38" s="51">
        <v>0</v>
      </c>
      <c r="AL38" s="59">
        <v>1.71</v>
      </c>
      <c r="AM38" s="52" t="s">
        <v>206</v>
      </c>
      <c r="AN38" s="52">
        <v>0.01</v>
      </c>
      <c r="AO38" s="52" t="s">
        <v>204</v>
      </c>
      <c r="AP38" s="52" t="s">
        <v>204</v>
      </c>
    </row>
    <row r="39" spans="1:42" x14ac:dyDescent="0.4">
      <c r="A39" s="23" t="s">
        <v>279</v>
      </c>
      <c r="B39" s="41">
        <v>45885</v>
      </c>
      <c r="C39" s="41">
        <v>45887</v>
      </c>
      <c r="D39" s="23">
        <v>1</v>
      </c>
      <c r="E39" s="23" t="s">
        <v>200</v>
      </c>
      <c r="F39" s="42">
        <v>0.19700000000000001</v>
      </c>
      <c r="G39" s="23" t="s">
        <v>201</v>
      </c>
      <c r="H39" s="23" t="s">
        <v>202</v>
      </c>
      <c r="I39" s="23" t="s">
        <v>280</v>
      </c>
      <c r="J39" s="43">
        <v>13</v>
      </c>
      <c r="K39" s="43" t="s">
        <v>204</v>
      </c>
      <c r="L39" s="46">
        <v>255.7</v>
      </c>
      <c r="M39" s="46">
        <f t="shared" si="9"/>
        <v>14.2</v>
      </c>
      <c r="N39" s="45">
        <v>1.42</v>
      </c>
      <c r="O39" s="46">
        <v>245</v>
      </c>
      <c r="P39" s="47">
        <f t="shared" si="10"/>
        <v>1.2250000000000001</v>
      </c>
      <c r="Q39" s="23">
        <v>0</v>
      </c>
      <c r="R39" s="23">
        <v>0</v>
      </c>
      <c r="S39" s="23">
        <v>0</v>
      </c>
      <c r="T39" s="23">
        <v>56</v>
      </c>
      <c r="U39" s="23">
        <v>44</v>
      </c>
      <c r="V39" s="23">
        <v>0</v>
      </c>
      <c r="W39" s="48">
        <f t="shared" si="11"/>
        <v>100</v>
      </c>
      <c r="X39" s="48">
        <f t="shared" si="12"/>
        <v>0</v>
      </c>
      <c r="Y39" s="23" t="s">
        <v>204</v>
      </c>
      <c r="Z39" s="23" t="s">
        <v>204</v>
      </c>
      <c r="AA39" s="23" t="s">
        <v>204</v>
      </c>
      <c r="AB39" s="23" t="s">
        <v>204</v>
      </c>
      <c r="AC39" s="49">
        <f t="shared" si="13"/>
        <v>100</v>
      </c>
      <c r="AD39" s="50">
        <f t="shared" si="14"/>
        <v>0</v>
      </c>
      <c r="AE39" s="50" t="s">
        <v>205</v>
      </c>
      <c r="AF39" s="50" t="s">
        <v>205</v>
      </c>
      <c r="AG39" s="41">
        <f t="shared" si="8"/>
        <v>45887</v>
      </c>
      <c r="AH39" s="43">
        <v>22.3</v>
      </c>
      <c r="AI39" s="51">
        <v>3.24</v>
      </c>
      <c r="AJ39" s="54">
        <v>6.9</v>
      </c>
      <c r="AK39" s="51">
        <v>0.01</v>
      </c>
      <c r="AL39" s="54">
        <v>1.6</v>
      </c>
      <c r="AM39" s="52" t="s">
        <v>206</v>
      </c>
      <c r="AN39" s="52">
        <v>0.01</v>
      </c>
      <c r="AO39" s="52" t="s">
        <v>204</v>
      </c>
      <c r="AP39" s="52" t="s">
        <v>204</v>
      </c>
    </row>
    <row r="40" spans="1:42" x14ac:dyDescent="0.4">
      <c r="A40" s="23" t="s">
        <v>281</v>
      </c>
      <c r="B40" s="41">
        <v>45887</v>
      </c>
      <c r="C40" s="41">
        <v>45888</v>
      </c>
      <c r="D40" s="23">
        <v>30</v>
      </c>
      <c r="E40" s="23" t="s">
        <v>200</v>
      </c>
      <c r="F40" s="42">
        <v>14.962999999999999</v>
      </c>
      <c r="G40" s="23" t="s">
        <v>201</v>
      </c>
      <c r="H40" s="23" t="s">
        <v>202</v>
      </c>
      <c r="I40" s="23" t="s">
        <v>277</v>
      </c>
      <c r="J40" s="43">
        <v>16</v>
      </c>
      <c r="K40" s="43" t="s">
        <v>204</v>
      </c>
      <c r="L40" s="46">
        <v>247.5</v>
      </c>
      <c r="M40" s="46">
        <f t="shared" si="9"/>
        <v>13.899999999999999</v>
      </c>
      <c r="N40" s="45">
        <v>1.39</v>
      </c>
      <c r="O40" s="46">
        <v>288</v>
      </c>
      <c r="P40" s="47">
        <f t="shared" si="10"/>
        <v>1.44</v>
      </c>
      <c r="Q40" s="23">
        <v>0</v>
      </c>
      <c r="R40" s="23">
        <v>0</v>
      </c>
      <c r="S40" s="23">
        <v>2</v>
      </c>
      <c r="T40" s="23">
        <v>157</v>
      </c>
      <c r="U40" s="23">
        <v>34</v>
      </c>
      <c r="V40" s="23">
        <v>7</v>
      </c>
      <c r="W40" s="48">
        <f t="shared" si="11"/>
        <v>191</v>
      </c>
      <c r="X40" s="48">
        <f t="shared" si="12"/>
        <v>9</v>
      </c>
      <c r="Y40" s="23" t="s">
        <v>204</v>
      </c>
      <c r="Z40" s="23" t="s">
        <v>204</v>
      </c>
      <c r="AA40" s="23" t="s">
        <v>204</v>
      </c>
      <c r="AB40" s="23" t="s">
        <v>204</v>
      </c>
      <c r="AC40" s="49">
        <f t="shared" si="13"/>
        <v>95.5</v>
      </c>
      <c r="AD40" s="50">
        <f t="shared" si="14"/>
        <v>0</v>
      </c>
      <c r="AE40" s="50" t="s">
        <v>205</v>
      </c>
      <c r="AF40" s="50" t="s">
        <v>205</v>
      </c>
      <c r="AG40" s="41">
        <f t="shared" si="8"/>
        <v>45888</v>
      </c>
      <c r="AH40" s="43">
        <v>22.2</v>
      </c>
      <c r="AI40" s="51">
        <v>3.35</v>
      </c>
      <c r="AJ40" s="54">
        <v>7.2</v>
      </c>
      <c r="AK40" s="51">
        <v>0.02</v>
      </c>
      <c r="AL40" s="54">
        <v>1.76</v>
      </c>
      <c r="AM40" s="52" t="s">
        <v>206</v>
      </c>
      <c r="AN40" s="52">
        <v>0.01</v>
      </c>
      <c r="AO40" s="52" t="s">
        <v>204</v>
      </c>
      <c r="AP40" s="52" t="s">
        <v>204</v>
      </c>
    </row>
    <row r="41" spans="1:42" x14ac:dyDescent="0.4">
      <c r="A41" s="23" t="s">
        <v>282</v>
      </c>
      <c r="B41" s="41">
        <v>45889</v>
      </c>
      <c r="C41" s="41">
        <v>45889</v>
      </c>
      <c r="D41" s="23">
        <v>30</v>
      </c>
      <c r="E41" s="23" t="s">
        <v>200</v>
      </c>
      <c r="F41" s="42">
        <v>11.739000000000001</v>
      </c>
      <c r="G41" s="23" t="s">
        <v>201</v>
      </c>
      <c r="H41" s="23" t="s">
        <v>202</v>
      </c>
      <c r="I41" s="23" t="s">
        <v>244</v>
      </c>
      <c r="J41" s="43">
        <v>29</v>
      </c>
      <c r="K41" s="43" t="s">
        <v>204</v>
      </c>
      <c r="L41" s="46">
        <v>237.9</v>
      </c>
      <c r="M41" s="46">
        <v>13</v>
      </c>
      <c r="N41" s="45">
        <v>1.3</v>
      </c>
      <c r="O41" s="46">
        <v>234</v>
      </c>
      <c r="P41" s="47">
        <f t="shared" si="10"/>
        <v>1.17</v>
      </c>
      <c r="Q41" s="23">
        <v>0</v>
      </c>
      <c r="R41" s="23">
        <v>0</v>
      </c>
      <c r="S41" s="23">
        <v>0</v>
      </c>
      <c r="T41" s="23">
        <v>91</v>
      </c>
      <c r="U41" s="23">
        <v>92</v>
      </c>
      <c r="V41" s="23">
        <v>17</v>
      </c>
      <c r="W41" s="48">
        <f t="shared" si="11"/>
        <v>183</v>
      </c>
      <c r="X41" s="48">
        <f t="shared" si="12"/>
        <v>17</v>
      </c>
      <c r="Y41" s="23" t="s">
        <v>204</v>
      </c>
      <c r="Z41" s="23" t="s">
        <v>204</v>
      </c>
      <c r="AA41" s="23" t="s">
        <v>204</v>
      </c>
      <c r="AB41" s="23" t="s">
        <v>204</v>
      </c>
      <c r="AC41" s="49">
        <f t="shared" si="13"/>
        <v>91.5</v>
      </c>
      <c r="AD41" s="50">
        <f t="shared" si="14"/>
        <v>0</v>
      </c>
      <c r="AE41" s="50" t="s">
        <v>205</v>
      </c>
      <c r="AF41" s="50" t="s">
        <v>205</v>
      </c>
      <c r="AG41" s="41">
        <f t="shared" si="8"/>
        <v>45889</v>
      </c>
      <c r="AH41" s="43">
        <v>24</v>
      </c>
      <c r="AI41" s="51">
        <v>3.29</v>
      </c>
      <c r="AJ41" s="54">
        <v>6.6</v>
      </c>
      <c r="AK41" s="51">
        <v>0.11</v>
      </c>
      <c r="AL41" s="54">
        <v>1.01</v>
      </c>
      <c r="AM41" s="52" t="s">
        <v>206</v>
      </c>
      <c r="AN41" s="52">
        <v>0.05</v>
      </c>
      <c r="AO41" s="52" t="s">
        <v>204</v>
      </c>
      <c r="AP41" s="52" t="s">
        <v>204</v>
      </c>
    </row>
    <row r="42" spans="1:42" x14ac:dyDescent="0.4">
      <c r="A42" s="23" t="s">
        <v>283</v>
      </c>
      <c r="B42" s="41">
        <v>45895</v>
      </c>
      <c r="C42" s="41">
        <v>45896</v>
      </c>
      <c r="D42" s="23">
        <v>36</v>
      </c>
      <c r="E42" s="23" t="s">
        <v>200</v>
      </c>
      <c r="F42" s="42">
        <v>14.669</v>
      </c>
      <c r="G42" s="23" t="s">
        <v>208</v>
      </c>
      <c r="H42" s="23" t="s">
        <v>209</v>
      </c>
      <c r="I42" s="23" t="s">
        <v>284</v>
      </c>
      <c r="J42" s="43">
        <v>22</v>
      </c>
      <c r="K42" s="43" t="s">
        <v>204</v>
      </c>
      <c r="L42" s="46">
        <v>336.58</v>
      </c>
      <c r="M42" s="46">
        <v>13.5</v>
      </c>
      <c r="N42" s="45">
        <v>1.35</v>
      </c>
      <c r="O42" s="46">
        <v>283</v>
      </c>
      <c r="P42" s="47">
        <f t="shared" si="10"/>
        <v>1.415</v>
      </c>
      <c r="Q42" s="23">
        <v>0</v>
      </c>
      <c r="R42" s="23">
        <v>0</v>
      </c>
      <c r="S42" s="23">
        <v>0</v>
      </c>
      <c r="T42" s="23">
        <v>101</v>
      </c>
      <c r="U42" s="23">
        <v>79</v>
      </c>
      <c r="V42" s="23">
        <v>20</v>
      </c>
      <c r="W42" s="48">
        <f t="shared" si="11"/>
        <v>180</v>
      </c>
      <c r="X42" s="48">
        <f t="shared" si="12"/>
        <v>20</v>
      </c>
      <c r="Y42" s="23" t="s">
        <v>204</v>
      </c>
      <c r="Z42" s="23" t="s">
        <v>204</v>
      </c>
      <c r="AA42" s="23" t="s">
        <v>204</v>
      </c>
      <c r="AB42" s="23" t="s">
        <v>204</v>
      </c>
      <c r="AC42" s="49">
        <f t="shared" si="13"/>
        <v>90</v>
      </c>
      <c r="AD42" s="50">
        <f t="shared" si="14"/>
        <v>0</v>
      </c>
      <c r="AE42" s="50" t="s">
        <v>205</v>
      </c>
      <c r="AF42" s="50" t="s">
        <v>205</v>
      </c>
      <c r="AG42" s="41">
        <f t="shared" si="8"/>
        <v>45896</v>
      </c>
      <c r="AH42" s="43">
        <v>23.7</v>
      </c>
      <c r="AI42" s="51">
        <v>3.45</v>
      </c>
      <c r="AJ42" s="54">
        <v>6</v>
      </c>
      <c r="AK42" s="51">
        <v>0.19</v>
      </c>
      <c r="AL42" s="54">
        <v>2.7</v>
      </c>
      <c r="AM42" s="52" t="s">
        <v>206</v>
      </c>
      <c r="AN42" s="52">
        <v>0.14000000000000001</v>
      </c>
      <c r="AO42" s="52" t="s">
        <v>204</v>
      </c>
      <c r="AP42" s="52" t="s">
        <v>204</v>
      </c>
    </row>
    <row r="43" spans="1:42" x14ac:dyDescent="0.4">
      <c r="A43" s="23" t="s">
        <v>285</v>
      </c>
      <c r="B43" s="41">
        <v>45896</v>
      </c>
      <c r="C43" s="41">
        <v>45897</v>
      </c>
      <c r="D43" s="23">
        <v>500</v>
      </c>
      <c r="E43" s="23" t="s">
        <v>220</v>
      </c>
      <c r="F43" s="53">
        <v>8.7219999999999995</v>
      </c>
      <c r="G43" s="23" t="s">
        <v>201</v>
      </c>
      <c r="H43" s="23" t="s">
        <v>202</v>
      </c>
      <c r="I43" s="23" t="s">
        <v>262</v>
      </c>
      <c r="J43" s="43">
        <v>14</v>
      </c>
      <c r="K43" s="43" t="s">
        <v>204</v>
      </c>
      <c r="L43" s="44">
        <v>228.25</v>
      </c>
      <c r="M43" s="44">
        <v>13.8</v>
      </c>
      <c r="N43" s="45">
        <f t="shared" ref="N43:N74" si="15">M43/10</f>
        <v>1.3800000000000001</v>
      </c>
      <c r="O43" s="46">
        <v>300</v>
      </c>
      <c r="P43" s="47">
        <f t="shared" si="10"/>
        <v>1.5</v>
      </c>
      <c r="Q43" s="23">
        <v>0</v>
      </c>
      <c r="R43" s="23">
        <v>0</v>
      </c>
      <c r="S43" s="23">
        <v>0</v>
      </c>
      <c r="T43" s="23">
        <v>144</v>
      </c>
      <c r="U43" s="23">
        <v>53</v>
      </c>
      <c r="V43" s="23">
        <v>3</v>
      </c>
      <c r="W43" s="48">
        <f t="shared" si="11"/>
        <v>197</v>
      </c>
      <c r="X43" s="48">
        <f t="shared" si="12"/>
        <v>3</v>
      </c>
      <c r="Y43" s="23" t="s">
        <v>204</v>
      </c>
      <c r="Z43" s="23" t="s">
        <v>204</v>
      </c>
      <c r="AA43" s="23" t="s">
        <v>204</v>
      </c>
      <c r="AB43" s="23" t="s">
        <v>204</v>
      </c>
      <c r="AC43" s="49">
        <f t="shared" si="13"/>
        <v>98.5</v>
      </c>
      <c r="AD43" s="50">
        <f t="shared" si="14"/>
        <v>0</v>
      </c>
      <c r="AE43" s="50" t="s">
        <v>205</v>
      </c>
      <c r="AF43" s="50" t="s">
        <v>205</v>
      </c>
      <c r="AG43" s="41">
        <f t="shared" si="8"/>
        <v>45897</v>
      </c>
      <c r="AH43" s="43">
        <v>24.3</v>
      </c>
      <c r="AI43" s="51">
        <v>3.44</v>
      </c>
      <c r="AJ43" s="52">
        <v>6.45</v>
      </c>
      <c r="AK43" s="51">
        <v>0.06</v>
      </c>
      <c r="AL43" s="52">
        <v>1.52</v>
      </c>
      <c r="AM43" s="52" t="s">
        <v>206</v>
      </c>
      <c r="AN43" s="52">
        <v>0.01</v>
      </c>
      <c r="AO43" s="52" t="s">
        <v>204</v>
      </c>
      <c r="AP43" s="52" t="s">
        <v>204</v>
      </c>
    </row>
    <row r="44" spans="1:42" x14ac:dyDescent="0.4">
      <c r="A44" s="23" t="s">
        <v>286</v>
      </c>
      <c r="B44" s="41">
        <v>45898</v>
      </c>
      <c r="C44" s="41">
        <v>45899</v>
      </c>
      <c r="D44" s="21">
        <v>13</v>
      </c>
      <c r="E44" s="21" t="s">
        <v>200</v>
      </c>
      <c r="F44" s="56">
        <v>5.3327999999999998</v>
      </c>
      <c r="G44" s="21" t="s">
        <v>201</v>
      </c>
      <c r="H44" s="21" t="s">
        <v>202</v>
      </c>
      <c r="I44" s="21" t="s">
        <v>237</v>
      </c>
      <c r="J44" s="43">
        <v>26</v>
      </c>
      <c r="K44" s="43" t="s">
        <v>204</v>
      </c>
      <c r="L44" s="57">
        <v>182</v>
      </c>
      <c r="M44" s="57">
        <v>14</v>
      </c>
      <c r="N44" s="45">
        <f t="shared" si="15"/>
        <v>1.4</v>
      </c>
      <c r="O44" s="58">
        <v>329</v>
      </c>
      <c r="P44" s="47">
        <f t="shared" si="10"/>
        <v>1.645</v>
      </c>
      <c r="Q44" s="23">
        <v>0</v>
      </c>
      <c r="R44" s="23">
        <v>0</v>
      </c>
      <c r="S44" s="23">
        <v>0</v>
      </c>
      <c r="T44" s="23">
        <v>138</v>
      </c>
      <c r="U44" s="23">
        <v>8</v>
      </c>
      <c r="V44" s="23">
        <v>4</v>
      </c>
      <c r="W44" s="48">
        <f t="shared" si="11"/>
        <v>146</v>
      </c>
      <c r="X44" s="48">
        <f t="shared" si="12"/>
        <v>4</v>
      </c>
      <c r="Y44" s="23" t="s">
        <v>204</v>
      </c>
      <c r="Z44" s="23" t="s">
        <v>204</v>
      </c>
      <c r="AA44" s="23" t="s">
        <v>204</v>
      </c>
      <c r="AB44" s="23" t="s">
        <v>204</v>
      </c>
      <c r="AC44" s="49">
        <f t="shared" si="13"/>
        <v>97.333333333333343</v>
      </c>
      <c r="AD44" s="50">
        <f t="shared" si="14"/>
        <v>0</v>
      </c>
      <c r="AE44" s="50" t="s">
        <v>205</v>
      </c>
      <c r="AF44" s="50" t="s">
        <v>205</v>
      </c>
      <c r="AG44" s="41">
        <f t="shared" si="8"/>
        <v>45899</v>
      </c>
      <c r="AH44" s="43">
        <v>22.9</v>
      </c>
      <c r="AI44" s="51">
        <v>3.31</v>
      </c>
      <c r="AJ44" s="52">
        <v>7.5</v>
      </c>
      <c r="AK44" s="51">
        <v>1.03</v>
      </c>
      <c r="AL44" s="52">
        <v>2.29</v>
      </c>
      <c r="AM44" s="52" t="s">
        <v>206</v>
      </c>
      <c r="AN44" s="52">
        <v>0</v>
      </c>
      <c r="AO44" s="52" t="s">
        <v>204</v>
      </c>
      <c r="AP44" s="52" t="s">
        <v>204</v>
      </c>
    </row>
    <row r="45" spans="1:42" x14ac:dyDescent="0.4">
      <c r="A45" s="23" t="s">
        <v>287</v>
      </c>
      <c r="B45" s="41">
        <v>45909</v>
      </c>
      <c r="C45" s="41">
        <v>45909</v>
      </c>
      <c r="D45" s="21">
        <v>26</v>
      </c>
      <c r="E45" s="21" t="s">
        <v>200</v>
      </c>
      <c r="F45" s="61">
        <v>8.9550000000000001</v>
      </c>
      <c r="G45" s="21" t="s">
        <v>201</v>
      </c>
      <c r="H45" s="21" t="s">
        <v>251</v>
      </c>
      <c r="I45" s="21" t="s">
        <v>288</v>
      </c>
      <c r="J45" s="43">
        <v>13</v>
      </c>
      <c r="K45" s="43" t="s">
        <v>204</v>
      </c>
      <c r="L45" s="58">
        <v>169.83</v>
      </c>
      <c r="M45" s="58">
        <v>13.8</v>
      </c>
      <c r="N45" s="45">
        <f t="shared" si="15"/>
        <v>1.3800000000000001</v>
      </c>
      <c r="O45" s="58">
        <v>240</v>
      </c>
      <c r="P45" s="47">
        <f t="shared" si="10"/>
        <v>1.2</v>
      </c>
      <c r="Q45" s="23">
        <v>0</v>
      </c>
      <c r="R45" s="23">
        <v>0</v>
      </c>
      <c r="S45" s="23">
        <v>4</v>
      </c>
      <c r="T45" s="23">
        <v>182</v>
      </c>
      <c r="U45" s="23">
        <v>7</v>
      </c>
      <c r="V45" s="23">
        <v>7</v>
      </c>
      <c r="W45" s="48">
        <f t="shared" si="11"/>
        <v>189</v>
      </c>
      <c r="X45" s="48">
        <f t="shared" si="12"/>
        <v>11</v>
      </c>
      <c r="Y45" s="64" t="s">
        <v>204</v>
      </c>
      <c r="Z45" s="64" t="s">
        <v>204</v>
      </c>
      <c r="AA45" s="64" t="s">
        <v>204</v>
      </c>
      <c r="AB45" s="64" t="s">
        <v>204</v>
      </c>
      <c r="AC45" s="49">
        <f t="shared" si="13"/>
        <v>94.5</v>
      </c>
      <c r="AD45" s="50">
        <f t="shared" si="14"/>
        <v>0</v>
      </c>
      <c r="AE45" s="50" t="s">
        <v>205</v>
      </c>
      <c r="AF45" s="50" t="s">
        <v>205</v>
      </c>
      <c r="AG45" s="65">
        <f t="shared" si="8"/>
        <v>45909</v>
      </c>
      <c r="AH45" s="66">
        <v>24.9</v>
      </c>
      <c r="AI45" s="67">
        <v>3.48</v>
      </c>
      <c r="AJ45" s="68">
        <v>6.45</v>
      </c>
      <c r="AK45" s="67">
        <v>0.01</v>
      </c>
      <c r="AL45" s="68">
        <v>2.59</v>
      </c>
      <c r="AM45" s="52" t="s">
        <v>206</v>
      </c>
      <c r="AN45" s="52">
        <v>0.02</v>
      </c>
      <c r="AO45" s="52">
        <v>520</v>
      </c>
      <c r="AP45" s="52">
        <v>324</v>
      </c>
    </row>
    <row r="46" spans="1:42" x14ac:dyDescent="0.4">
      <c r="A46" s="23" t="s">
        <v>289</v>
      </c>
      <c r="B46" s="41">
        <v>45910</v>
      </c>
      <c r="C46" s="41">
        <v>45910</v>
      </c>
      <c r="D46" s="21">
        <v>13</v>
      </c>
      <c r="E46" s="21" t="s">
        <v>200</v>
      </c>
      <c r="F46" s="61">
        <v>4.5149999999999997</v>
      </c>
      <c r="G46" s="21" t="s">
        <v>201</v>
      </c>
      <c r="H46" s="21" t="s">
        <v>251</v>
      </c>
      <c r="I46" s="21" t="s">
        <v>290</v>
      </c>
      <c r="J46" s="43">
        <v>15</v>
      </c>
      <c r="K46" s="43" t="s">
        <v>204</v>
      </c>
      <c r="L46" s="58">
        <v>170.37</v>
      </c>
      <c r="M46" s="58">
        <v>13.9</v>
      </c>
      <c r="N46" s="45">
        <f t="shared" si="15"/>
        <v>1.3900000000000001</v>
      </c>
      <c r="O46" s="58">
        <v>266</v>
      </c>
      <c r="P46" s="47">
        <f t="shared" si="10"/>
        <v>1.33</v>
      </c>
      <c r="Q46" s="23">
        <v>0</v>
      </c>
      <c r="R46" s="23">
        <v>0</v>
      </c>
      <c r="S46" s="23">
        <v>4</v>
      </c>
      <c r="T46" s="23">
        <v>144</v>
      </c>
      <c r="U46" s="23">
        <v>2</v>
      </c>
      <c r="V46" s="23">
        <v>0</v>
      </c>
      <c r="W46" s="48">
        <f t="shared" si="11"/>
        <v>146</v>
      </c>
      <c r="X46" s="48">
        <f t="shared" si="12"/>
        <v>4</v>
      </c>
      <c r="Y46" s="64" t="s">
        <v>204</v>
      </c>
      <c r="Z46" s="64" t="s">
        <v>204</v>
      </c>
      <c r="AA46" s="64" t="s">
        <v>204</v>
      </c>
      <c r="AB46" s="64" t="s">
        <v>204</v>
      </c>
      <c r="AC46" s="49">
        <f t="shared" si="13"/>
        <v>97.333333333333343</v>
      </c>
      <c r="AD46" s="50">
        <f t="shared" si="14"/>
        <v>0</v>
      </c>
      <c r="AE46" s="50" t="s">
        <v>205</v>
      </c>
      <c r="AF46" s="50" t="s">
        <v>205</v>
      </c>
      <c r="AG46" s="65">
        <f t="shared" si="8"/>
        <v>45910</v>
      </c>
      <c r="AH46" s="66">
        <v>25</v>
      </c>
      <c r="AI46" s="67">
        <v>3.47</v>
      </c>
      <c r="AJ46" s="68">
        <v>5.55</v>
      </c>
      <c r="AK46" s="67">
        <v>0.02</v>
      </c>
      <c r="AL46" s="68">
        <v>2.37</v>
      </c>
      <c r="AM46" s="52" t="s">
        <v>206</v>
      </c>
      <c r="AN46" s="52">
        <v>0</v>
      </c>
      <c r="AO46" s="52">
        <v>623</v>
      </c>
      <c r="AP46" s="52">
        <v>465</v>
      </c>
    </row>
    <row r="47" spans="1:42" x14ac:dyDescent="0.4">
      <c r="A47" s="23" t="s">
        <v>291</v>
      </c>
      <c r="B47" s="41">
        <v>45910</v>
      </c>
      <c r="C47" s="41">
        <v>45910</v>
      </c>
      <c r="D47" s="23">
        <v>4</v>
      </c>
      <c r="E47" s="23" t="s">
        <v>200</v>
      </c>
      <c r="F47" s="69">
        <v>1.339</v>
      </c>
      <c r="G47" s="21" t="s">
        <v>201</v>
      </c>
      <c r="H47" s="23" t="s">
        <v>254</v>
      </c>
      <c r="I47" s="21" t="s">
        <v>292</v>
      </c>
      <c r="J47" s="43">
        <v>18</v>
      </c>
      <c r="K47" s="43" t="s">
        <v>204</v>
      </c>
      <c r="L47" s="58">
        <v>307.25</v>
      </c>
      <c r="M47" s="46">
        <v>14.6</v>
      </c>
      <c r="N47" s="45">
        <f t="shared" si="15"/>
        <v>1.46</v>
      </c>
      <c r="O47" s="46">
        <v>306</v>
      </c>
      <c r="P47" s="47">
        <f t="shared" si="10"/>
        <v>1.53</v>
      </c>
      <c r="Q47" s="55">
        <v>0</v>
      </c>
      <c r="R47" s="55">
        <v>0</v>
      </c>
      <c r="S47" s="55">
        <v>0</v>
      </c>
      <c r="T47" s="55">
        <v>89</v>
      </c>
      <c r="U47" s="55">
        <v>5</v>
      </c>
      <c r="V47" s="70">
        <v>6</v>
      </c>
      <c r="W47" s="48">
        <f t="shared" si="11"/>
        <v>94</v>
      </c>
      <c r="X47" s="48">
        <f t="shared" si="12"/>
        <v>6</v>
      </c>
      <c r="Y47" s="23" t="s">
        <v>204</v>
      </c>
      <c r="Z47" s="23" t="s">
        <v>204</v>
      </c>
      <c r="AA47" s="23" t="s">
        <v>204</v>
      </c>
      <c r="AB47" s="23" t="s">
        <v>204</v>
      </c>
      <c r="AC47" s="49">
        <f t="shared" si="13"/>
        <v>94</v>
      </c>
      <c r="AD47" s="50">
        <f t="shared" si="14"/>
        <v>0</v>
      </c>
      <c r="AE47" s="50" t="s">
        <v>205</v>
      </c>
      <c r="AF47" s="50" t="s">
        <v>205</v>
      </c>
      <c r="AG47" s="41">
        <f t="shared" si="8"/>
        <v>45910</v>
      </c>
      <c r="AH47" s="43">
        <v>24.4</v>
      </c>
      <c r="AI47" s="51">
        <v>3.48</v>
      </c>
      <c r="AJ47" s="51">
        <v>5.4</v>
      </c>
      <c r="AK47" s="51">
        <v>0</v>
      </c>
      <c r="AL47" s="51">
        <v>1.83</v>
      </c>
      <c r="AM47" s="52" t="s">
        <v>206</v>
      </c>
      <c r="AN47" s="52">
        <v>0.02</v>
      </c>
      <c r="AO47" s="52">
        <v>789</v>
      </c>
      <c r="AP47" s="52">
        <v>780</v>
      </c>
    </row>
    <row r="48" spans="1:42" x14ac:dyDescent="0.4">
      <c r="A48" s="23" t="s">
        <v>293</v>
      </c>
      <c r="B48" s="41">
        <v>45910</v>
      </c>
      <c r="C48" s="41">
        <v>45911</v>
      </c>
      <c r="D48" s="21">
        <v>11</v>
      </c>
      <c r="E48" s="21" t="s">
        <v>200</v>
      </c>
      <c r="F48" s="56">
        <v>4.6139999999999999</v>
      </c>
      <c r="G48" s="21" t="s">
        <v>216</v>
      </c>
      <c r="H48" s="21" t="s">
        <v>294</v>
      </c>
      <c r="I48" s="21" t="s">
        <v>295</v>
      </c>
      <c r="J48" s="43">
        <v>19</v>
      </c>
      <c r="K48" s="43" t="s">
        <v>204</v>
      </c>
      <c r="L48" s="44">
        <v>85</v>
      </c>
      <c r="M48" s="44">
        <v>13</v>
      </c>
      <c r="N48" s="45">
        <f t="shared" si="15"/>
        <v>1.3</v>
      </c>
      <c r="O48" s="46">
        <v>170</v>
      </c>
      <c r="P48" s="47">
        <f t="shared" si="10"/>
        <v>0.85</v>
      </c>
      <c r="Q48" s="23">
        <v>0</v>
      </c>
      <c r="R48" s="23">
        <v>0</v>
      </c>
      <c r="S48" s="23">
        <v>0</v>
      </c>
      <c r="T48" s="23">
        <v>93</v>
      </c>
      <c r="U48" s="23">
        <v>5</v>
      </c>
      <c r="V48" s="59">
        <v>2</v>
      </c>
      <c r="W48" s="48">
        <f t="shared" si="11"/>
        <v>98</v>
      </c>
      <c r="X48" s="48">
        <f t="shared" si="12"/>
        <v>2</v>
      </c>
      <c r="Y48" s="23" t="s">
        <v>204</v>
      </c>
      <c r="Z48" s="23" t="s">
        <v>204</v>
      </c>
      <c r="AA48" s="23" t="s">
        <v>204</v>
      </c>
      <c r="AB48" s="23" t="s">
        <v>204</v>
      </c>
      <c r="AC48" s="49">
        <f t="shared" si="13"/>
        <v>98</v>
      </c>
      <c r="AD48" s="50">
        <f t="shared" si="14"/>
        <v>0</v>
      </c>
      <c r="AE48" s="50" t="s">
        <v>205</v>
      </c>
      <c r="AF48" s="50" t="s">
        <v>205</v>
      </c>
      <c r="AG48" s="41">
        <f t="shared" si="8"/>
        <v>45911</v>
      </c>
      <c r="AH48" s="43">
        <v>22.2</v>
      </c>
      <c r="AI48" s="51">
        <v>3.71</v>
      </c>
      <c r="AJ48" s="52">
        <v>5.4</v>
      </c>
      <c r="AK48" s="51">
        <v>0</v>
      </c>
      <c r="AL48" s="51">
        <v>3.28</v>
      </c>
      <c r="AM48" s="52" t="s">
        <v>206</v>
      </c>
      <c r="AN48" s="52">
        <v>0</v>
      </c>
      <c r="AO48" s="52" t="s">
        <v>204</v>
      </c>
      <c r="AP48" s="52" t="s">
        <v>204</v>
      </c>
    </row>
    <row r="49" spans="1:42" x14ac:dyDescent="0.4">
      <c r="A49" s="23" t="s">
        <v>296</v>
      </c>
      <c r="B49" s="41">
        <v>45910</v>
      </c>
      <c r="C49" s="41">
        <v>45911</v>
      </c>
      <c r="D49" s="21">
        <v>5</v>
      </c>
      <c r="E49" s="21" t="s">
        <v>200</v>
      </c>
      <c r="F49" s="56">
        <v>1.8129999999999999</v>
      </c>
      <c r="G49" s="21" t="s">
        <v>216</v>
      </c>
      <c r="H49" s="21" t="s">
        <v>294</v>
      </c>
      <c r="I49" s="21" t="s">
        <v>297</v>
      </c>
      <c r="J49" s="43">
        <v>12</v>
      </c>
      <c r="K49" s="43" t="s">
        <v>204</v>
      </c>
      <c r="L49" s="44">
        <v>87</v>
      </c>
      <c r="M49" s="44">
        <v>13.5</v>
      </c>
      <c r="N49" s="45">
        <f t="shared" si="15"/>
        <v>1.35</v>
      </c>
      <c r="O49" s="46">
        <v>209</v>
      </c>
      <c r="P49" s="47">
        <f t="shared" si="10"/>
        <v>1.0449999999999999</v>
      </c>
      <c r="Q49" s="23">
        <v>0</v>
      </c>
      <c r="R49" s="23">
        <v>0</v>
      </c>
      <c r="S49" s="23">
        <v>0</v>
      </c>
      <c r="T49" s="23">
        <v>95</v>
      </c>
      <c r="U49" s="23">
        <v>0</v>
      </c>
      <c r="V49" s="59">
        <v>5</v>
      </c>
      <c r="W49" s="48">
        <f t="shared" si="11"/>
        <v>95</v>
      </c>
      <c r="X49" s="48">
        <f t="shared" si="12"/>
        <v>5</v>
      </c>
      <c r="Y49" s="23" t="s">
        <v>204</v>
      </c>
      <c r="Z49" s="23" t="s">
        <v>204</v>
      </c>
      <c r="AA49" s="23" t="s">
        <v>204</v>
      </c>
      <c r="AB49" s="23" t="s">
        <v>204</v>
      </c>
      <c r="AC49" s="49">
        <f t="shared" si="13"/>
        <v>95</v>
      </c>
      <c r="AD49" s="50">
        <f t="shared" si="14"/>
        <v>0</v>
      </c>
      <c r="AE49" s="50" t="s">
        <v>205</v>
      </c>
      <c r="AF49" s="50" t="s">
        <v>205</v>
      </c>
      <c r="AG49" s="41">
        <f t="shared" si="8"/>
        <v>45911</v>
      </c>
      <c r="AH49" s="71">
        <v>22.7</v>
      </c>
      <c r="AI49" s="52">
        <v>3.69</v>
      </c>
      <c r="AJ49" s="54">
        <v>5.0999999999999996</v>
      </c>
      <c r="AK49" s="52">
        <v>0</v>
      </c>
      <c r="AL49" s="52">
        <v>2.86</v>
      </c>
      <c r="AM49" s="52" t="s">
        <v>206</v>
      </c>
      <c r="AN49" s="52">
        <v>0</v>
      </c>
      <c r="AO49" s="52" t="s">
        <v>204</v>
      </c>
      <c r="AP49" s="52" t="s">
        <v>204</v>
      </c>
    </row>
    <row r="50" spans="1:42" x14ac:dyDescent="0.4">
      <c r="A50" s="23" t="s">
        <v>298</v>
      </c>
      <c r="B50" s="41">
        <v>45910</v>
      </c>
      <c r="C50" s="41">
        <v>45911</v>
      </c>
      <c r="D50" s="21">
        <v>30</v>
      </c>
      <c r="E50" s="21" t="s">
        <v>200</v>
      </c>
      <c r="F50" s="56">
        <v>14.932</v>
      </c>
      <c r="G50" s="21" t="s">
        <v>212</v>
      </c>
      <c r="H50" s="23" t="s">
        <v>299</v>
      </c>
      <c r="I50" s="23" t="s">
        <v>300</v>
      </c>
      <c r="J50" s="43">
        <v>12</v>
      </c>
      <c r="K50" s="43" t="s">
        <v>204</v>
      </c>
      <c r="L50" s="44">
        <v>203.5</v>
      </c>
      <c r="M50" s="44">
        <v>14.6</v>
      </c>
      <c r="N50" s="45">
        <f t="shared" si="15"/>
        <v>1.46</v>
      </c>
      <c r="O50" s="46">
        <v>330</v>
      </c>
      <c r="P50" s="47">
        <f t="shared" si="10"/>
        <v>1.65</v>
      </c>
      <c r="Q50" s="23">
        <v>0</v>
      </c>
      <c r="R50" s="23">
        <v>0</v>
      </c>
      <c r="S50" s="23">
        <v>0</v>
      </c>
      <c r="T50" s="23">
        <v>179</v>
      </c>
      <c r="U50" s="23">
        <v>11</v>
      </c>
      <c r="V50" s="59">
        <v>10</v>
      </c>
      <c r="W50" s="48">
        <f t="shared" si="11"/>
        <v>190</v>
      </c>
      <c r="X50" s="48">
        <f t="shared" si="12"/>
        <v>10</v>
      </c>
      <c r="Y50" s="23" t="s">
        <v>204</v>
      </c>
      <c r="Z50" s="23" t="s">
        <v>204</v>
      </c>
      <c r="AA50" s="23" t="s">
        <v>204</v>
      </c>
      <c r="AB50" s="23" t="s">
        <v>204</v>
      </c>
      <c r="AC50" s="49">
        <f t="shared" si="13"/>
        <v>95</v>
      </c>
      <c r="AD50" s="50">
        <f t="shared" si="14"/>
        <v>0</v>
      </c>
      <c r="AE50" s="50" t="s">
        <v>205</v>
      </c>
      <c r="AF50" s="50" t="s">
        <v>205</v>
      </c>
      <c r="AG50" s="41">
        <f t="shared" si="8"/>
        <v>45911</v>
      </c>
      <c r="AH50" s="71">
        <v>24.2</v>
      </c>
      <c r="AI50" s="52">
        <v>3.54</v>
      </c>
      <c r="AJ50" s="52">
        <v>4.8</v>
      </c>
      <c r="AK50" s="52">
        <v>0.01</v>
      </c>
      <c r="AL50" s="52">
        <v>1.82</v>
      </c>
      <c r="AM50" s="52" t="s">
        <v>206</v>
      </c>
      <c r="AN50" s="52">
        <v>0.51</v>
      </c>
      <c r="AO50" s="52">
        <v>515</v>
      </c>
      <c r="AP50" s="52">
        <v>381</v>
      </c>
    </row>
    <row r="51" spans="1:42" x14ac:dyDescent="0.4">
      <c r="A51" s="23" t="s">
        <v>301</v>
      </c>
      <c r="B51" s="41">
        <v>45915</v>
      </c>
      <c r="C51" s="60">
        <v>45915</v>
      </c>
      <c r="D51" s="21">
        <v>38</v>
      </c>
      <c r="E51" s="21" t="s">
        <v>200</v>
      </c>
      <c r="F51" s="61">
        <v>13.565</v>
      </c>
      <c r="G51" s="23" t="s">
        <v>201</v>
      </c>
      <c r="H51" s="23" t="s">
        <v>251</v>
      </c>
      <c r="I51" s="23" t="s">
        <v>302</v>
      </c>
      <c r="J51" s="43">
        <v>19</v>
      </c>
      <c r="K51" s="43" t="s">
        <v>204</v>
      </c>
      <c r="L51" s="44">
        <v>163.08000000000001</v>
      </c>
      <c r="M51" s="44">
        <v>13.7</v>
      </c>
      <c r="N51" s="45">
        <f t="shared" si="15"/>
        <v>1.3699999999999999</v>
      </c>
      <c r="O51" s="46">
        <v>223</v>
      </c>
      <c r="P51" s="47">
        <f t="shared" si="10"/>
        <v>1.115</v>
      </c>
      <c r="Q51" s="23">
        <v>0</v>
      </c>
      <c r="R51" s="23">
        <v>0</v>
      </c>
      <c r="S51" s="23">
        <v>4</v>
      </c>
      <c r="T51" s="23">
        <v>188</v>
      </c>
      <c r="U51" s="23">
        <v>6</v>
      </c>
      <c r="V51" s="59">
        <v>2</v>
      </c>
      <c r="W51" s="48">
        <f t="shared" si="11"/>
        <v>194</v>
      </c>
      <c r="X51" s="48">
        <f t="shared" si="12"/>
        <v>6</v>
      </c>
      <c r="Y51" s="23" t="s">
        <v>204</v>
      </c>
      <c r="Z51" s="23" t="s">
        <v>204</v>
      </c>
      <c r="AA51" s="23" t="s">
        <v>204</v>
      </c>
      <c r="AB51" s="23" t="s">
        <v>204</v>
      </c>
      <c r="AC51" s="49">
        <f t="shared" si="13"/>
        <v>97</v>
      </c>
      <c r="AD51" s="50">
        <f t="shared" si="14"/>
        <v>0</v>
      </c>
      <c r="AE51" s="50" t="s">
        <v>205</v>
      </c>
      <c r="AF51" s="50" t="s">
        <v>205</v>
      </c>
      <c r="AG51" s="41">
        <f t="shared" si="8"/>
        <v>45915</v>
      </c>
      <c r="AH51" s="71">
        <v>24.5</v>
      </c>
      <c r="AI51" s="52">
        <v>3.42</v>
      </c>
      <c r="AJ51" s="52">
        <v>6.45</v>
      </c>
      <c r="AK51" s="52">
        <v>0.01</v>
      </c>
      <c r="AL51" s="52">
        <v>2.15</v>
      </c>
      <c r="AM51" s="52" t="s">
        <v>206</v>
      </c>
      <c r="AN51" s="52">
        <v>0.02</v>
      </c>
      <c r="AO51" s="52">
        <v>487</v>
      </c>
      <c r="AP51" s="52">
        <v>448</v>
      </c>
    </row>
    <row r="52" spans="1:42" x14ac:dyDescent="0.4">
      <c r="A52" s="23" t="s">
        <v>303</v>
      </c>
      <c r="B52" s="41">
        <v>45916</v>
      </c>
      <c r="C52" s="60">
        <v>45917</v>
      </c>
      <c r="D52" s="21">
        <v>10</v>
      </c>
      <c r="E52" s="21" t="s">
        <v>200</v>
      </c>
      <c r="F52" s="72">
        <v>4.4009999999999998</v>
      </c>
      <c r="G52" s="23" t="s">
        <v>216</v>
      </c>
      <c r="H52" s="23" t="s">
        <v>294</v>
      </c>
      <c r="I52" s="23" t="s">
        <v>304</v>
      </c>
      <c r="J52" s="43">
        <v>25</v>
      </c>
      <c r="K52" s="43" t="s">
        <v>204</v>
      </c>
      <c r="L52" s="73">
        <v>93.5</v>
      </c>
      <c r="M52" s="57">
        <v>12.15</v>
      </c>
      <c r="N52" s="45">
        <f t="shared" si="15"/>
        <v>1.2150000000000001</v>
      </c>
      <c r="O52" s="58">
        <v>204</v>
      </c>
      <c r="P52" s="47">
        <f t="shared" si="10"/>
        <v>1.02</v>
      </c>
      <c r="Q52" s="23">
        <v>0</v>
      </c>
      <c r="R52" s="23">
        <v>0</v>
      </c>
      <c r="S52" s="23">
        <v>0</v>
      </c>
      <c r="T52" s="23">
        <v>38</v>
      </c>
      <c r="U52" s="23">
        <v>103</v>
      </c>
      <c r="V52" s="59">
        <v>9</v>
      </c>
      <c r="W52" s="48">
        <f t="shared" si="11"/>
        <v>141</v>
      </c>
      <c r="X52" s="48">
        <f t="shared" si="12"/>
        <v>9</v>
      </c>
      <c r="Y52" s="23" t="s">
        <v>204</v>
      </c>
      <c r="Z52" s="23" t="s">
        <v>204</v>
      </c>
      <c r="AA52" s="23" t="s">
        <v>204</v>
      </c>
      <c r="AB52" s="23" t="s">
        <v>204</v>
      </c>
      <c r="AC52" s="49">
        <f t="shared" si="13"/>
        <v>94</v>
      </c>
      <c r="AD52" s="50">
        <f t="shared" si="14"/>
        <v>0</v>
      </c>
      <c r="AE52" s="50" t="s">
        <v>205</v>
      </c>
      <c r="AF52" s="50" t="s">
        <v>205</v>
      </c>
      <c r="AG52" s="41">
        <f t="shared" si="8"/>
        <v>45917</v>
      </c>
      <c r="AH52" s="71">
        <v>24.1</v>
      </c>
      <c r="AI52" s="52">
        <v>3.63</v>
      </c>
      <c r="AJ52" s="52">
        <v>5.0999999999999996</v>
      </c>
      <c r="AK52" s="52">
        <v>0.06</v>
      </c>
      <c r="AL52" s="52">
        <v>1.76</v>
      </c>
      <c r="AM52" s="52" t="s">
        <v>206</v>
      </c>
      <c r="AN52" s="52">
        <v>0</v>
      </c>
      <c r="AO52" s="52" t="s">
        <v>204</v>
      </c>
      <c r="AP52" s="52" t="s">
        <v>204</v>
      </c>
    </row>
    <row r="53" spans="1:42" x14ac:dyDescent="0.4">
      <c r="A53" s="23" t="s">
        <v>305</v>
      </c>
      <c r="B53" s="41">
        <v>45916</v>
      </c>
      <c r="C53" s="60">
        <v>45917</v>
      </c>
      <c r="D53" s="21">
        <v>2</v>
      </c>
      <c r="E53" s="21" t="s">
        <v>200</v>
      </c>
      <c r="F53" s="61">
        <v>0.64149999999999996</v>
      </c>
      <c r="G53" s="23" t="s">
        <v>201</v>
      </c>
      <c r="H53" s="21" t="s">
        <v>230</v>
      </c>
      <c r="I53" s="21" t="s">
        <v>306</v>
      </c>
      <c r="J53" s="43">
        <v>25</v>
      </c>
      <c r="K53" s="43" t="s">
        <v>204</v>
      </c>
      <c r="L53" s="57">
        <v>333</v>
      </c>
      <c r="M53" s="57">
        <v>14.8</v>
      </c>
      <c r="N53" s="62">
        <f t="shared" si="15"/>
        <v>1.48</v>
      </c>
      <c r="O53" s="58">
        <v>310</v>
      </c>
      <c r="P53" s="47">
        <f t="shared" si="10"/>
        <v>1.55</v>
      </c>
      <c r="Q53" s="23">
        <v>0</v>
      </c>
      <c r="R53" s="23">
        <v>0</v>
      </c>
      <c r="S53" s="23">
        <v>0</v>
      </c>
      <c r="T53" s="23">
        <v>91</v>
      </c>
      <c r="U53" s="23">
        <v>4</v>
      </c>
      <c r="V53" s="59">
        <v>5</v>
      </c>
      <c r="W53" s="48">
        <f t="shared" si="11"/>
        <v>95</v>
      </c>
      <c r="X53" s="48">
        <f t="shared" si="12"/>
        <v>5</v>
      </c>
      <c r="Y53" s="23" t="s">
        <v>204</v>
      </c>
      <c r="Z53" s="23" t="s">
        <v>204</v>
      </c>
      <c r="AA53" s="23" t="s">
        <v>204</v>
      </c>
      <c r="AB53" s="23" t="s">
        <v>204</v>
      </c>
      <c r="AC53" s="49">
        <f t="shared" si="13"/>
        <v>95</v>
      </c>
      <c r="AD53" s="50">
        <f t="shared" si="14"/>
        <v>0</v>
      </c>
      <c r="AE53" s="50" t="s">
        <v>205</v>
      </c>
      <c r="AF53" s="50" t="s">
        <v>205</v>
      </c>
      <c r="AG53" s="41">
        <f t="shared" si="8"/>
        <v>45917</v>
      </c>
      <c r="AH53" s="71">
        <v>21.9</v>
      </c>
      <c r="AI53" s="52">
        <v>3.47</v>
      </c>
      <c r="AJ53" s="52">
        <v>4.8</v>
      </c>
      <c r="AK53" s="52">
        <v>0.02</v>
      </c>
      <c r="AL53" s="54">
        <v>0.33</v>
      </c>
      <c r="AM53" s="52" t="s">
        <v>206</v>
      </c>
      <c r="AN53" s="52">
        <v>0.05</v>
      </c>
      <c r="AO53" s="52">
        <v>549</v>
      </c>
      <c r="AP53" s="52">
        <v>388</v>
      </c>
    </row>
    <row r="54" spans="1:42" x14ac:dyDescent="0.4">
      <c r="A54" s="23" t="s">
        <v>307</v>
      </c>
      <c r="B54" s="41">
        <v>45916</v>
      </c>
      <c r="C54" s="41">
        <v>45917</v>
      </c>
      <c r="D54" s="21">
        <v>2</v>
      </c>
      <c r="E54" s="21" t="s">
        <v>200</v>
      </c>
      <c r="F54" s="61">
        <v>0.50349999999999995</v>
      </c>
      <c r="G54" s="23" t="s">
        <v>201</v>
      </c>
      <c r="H54" s="21" t="s">
        <v>230</v>
      </c>
      <c r="I54" s="21" t="s">
        <v>308</v>
      </c>
      <c r="J54" s="43">
        <v>21</v>
      </c>
      <c r="K54" s="43" t="s">
        <v>204</v>
      </c>
      <c r="L54" s="57">
        <v>611.75</v>
      </c>
      <c r="M54" s="57">
        <v>14.8</v>
      </c>
      <c r="N54" s="62">
        <f t="shared" si="15"/>
        <v>1.48</v>
      </c>
      <c r="O54" s="58">
        <v>346</v>
      </c>
      <c r="P54" s="47">
        <f t="shared" si="10"/>
        <v>1.73</v>
      </c>
      <c r="Q54" s="23">
        <v>0</v>
      </c>
      <c r="R54" s="23">
        <v>0</v>
      </c>
      <c r="S54" s="23">
        <v>3</v>
      </c>
      <c r="T54" s="23">
        <v>89</v>
      </c>
      <c r="U54" s="23">
        <v>3</v>
      </c>
      <c r="V54" s="59">
        <v>5</v>
      </c>
      <c r="W54" s="48">
        <f t="shared" si="11"/>
        <v>92</v>
      </c>
      <c r="X54" s="48">
        <f t="shared" si="12"/>
        <v>8</v>
      </c>
      <c r="Y54" s="23" t="s">
        <v>204</v>
      </c>
      <c r="Z54" s="23" t="s">
        <v>204</v>
      </c>
      <c r="AA54" s="23" t="s">
        <v>204</v>
      </c>
      <c r="AB54" s="23" t="s">
        <v>204</v>
      </c>
      <c r="AC54" s="49">
        <f t="shared" si="13"/>
        <v>92</v>
      </c>
      <c r="AD54" s="50">
        <f t="shared" si="14"/>
        <v>0</v>
      </c>
      <c r="AE54" s="50" t="s">
        <v>205</v>
      </c>
      <c r="AF54" s="50" t="s">
        <v>205</v>
      </c>
      <c r="AG54" s="41">
        <f t="shared" si="8"/>
        <v>45917</v>
      </c>
      <c r="AH54" s="71">
        <v>22.7</v>
      </c>
      <c r="AI54" s="52">
        <v>3.38</v>
      </c>
      <c r="AJ54" s="52">
        <v>6.15</v>
      </c>
      <c r="AK54" s="52">
        <v>0.09</v>
      </c>
      <c r="AL54" s="52">
        <v>0.7</v>
      </c>
      <c r="AM54" s="52" t="s">
        <v>206</v>
      </c>
      <c r="AN54" s="52">
        <v>0.05</v>
      </c>
      <c r="AO54" s="52">
        <v>655</v>
      </c>
      <c r="AP54" s="52">
        <v>460</v>
      </c>
    </row>
    <row r="55" spans="1:42" x14ac:dyDescent="0.4">
      <c r="A55" s="23" t="s">
        <v>309</v>
      </c>
      <c r="B55" s="41">
        <v>45916</v>
      </c>
      <c r="C55" s="60">
        <v>45917</v>
      </c>
      <c r="D55" s="21">
        <v>11</v>
      </c>
      <c r="E55" s="21" t="s">
        <v>200</v>
      </c>
      <c r="F55" s="61">
        <v>4.9039999999999999</v>
      </c>
      <c r="G55" s="21" t="s">
        <v>216</v>
      </c>
      <c r="H55" s="21" t="s">
        <v>310</v>
      </c>
      <c r="I55" s="21" t="s">
        <v>311</v>
      </c>
      <c r="J55" s="43">
        <v>13</v>
      </c>
      <c r="K55" s="43" t="s">
        <v>204</v>
      </c>
      <c r="L55" s="57">
        <v>94.25</v>
      </c>
      <c r="M55" s="57">
        <v>11</v>
      </c>
      <c r="N55" s="62">
        <f t="shared" si="15"/>
        <v>1.1000000000000001</v>
      </c>
      <c r="O55" s="58">
        <v>128</v>
      </c>
      <c r="P55" s="47">
        <f t="shared" si="10"/>
        <v>0.64</v>
      </c>
      <c r="Q55" s="23">
        <v>0</v>
      </c>
      <c r="R55" s="23">
        <v>0</v>
      </c>
      <c r="S55" s="23">
        <v>0</v>
      </c>
      <c r="T55" s="23">
        <v>100</v>
      </c>
      <c r="U55" s="23">
        <v>0</v>
      </c>
      <c r="V55" s="23">
        <v>0</v>
      </c>
      <c r="W55" s="48">
        <f t="shared" si="11"/>
        <v>100</v>
      </c>
      <c r="X55" s="48">
        <f t="shared" si="12"/>
        <v>0</v>
      </c>
      <c r="Y55" s="23" t="s">
        <v>204</v>
      </c>
      <c r="Z55" s="23" t="s">
        <v>204</v>
      </c>
      <c r="AA55" s="23" t="s">
        <v>204</v>
      </c>
      <c r="AB55" s="23" t="s">
        <v>204</v>
      </c>
      <c r="AC55" s="49">
        <f t="shared" si="13"/>
        <v>100</v>
      </c>
      <c r="AD55" s="50">
        <f t="shared" si="14"/>
        <v>0</v>
      </c>
      <c r="AE55" s="50" t="s">
        <v>205</v>
      </c>
      <c r="AF55" s="50" t="s">
        <v>205</v>
      </c>
      <c r="AG55" s="41">
        <f t="shared" si="8"/>
        <v>45917</v>
      </c>
      <c r="AH55" s="71">
        <v>23.7</v>
      </c>
      <c r="AI55" s="52">
        <v>3.77</v>
      </c>
      <c r="AJ55" s="52">
        <v>4.05</v>
      </c>
      <c r="AK55" s="52">
        <v>0.01</v>
      </c>
      <c r="AL55" s="52">
        <v>2.27</v>
      </c>
      <c r="AM55" s="52" t="s">
        <v>206</v>
      </c>
      <c r="AN55" s="52">
        <v>0.01</v>
      </c>
      <c r="AO55" s="52">
        <v>633</v>
      </c>
      <c r="AP55" s="52">
        <v>494</v>
      </c>
    </row>
    <row r="56" spans="1:42" x14ac:dyDescent="0.4">
      <c r="A56" s="23" t="s">
        <v>312</v>
      </c>
      <c r="B56" s="41">
        <v>45916</v>
      </c>
      <c r="C56" s="41">
        <v>45917</v>
      </c>
      <c r="D56" s="21">
        <v>16</v>
      </c>
      <c r="E56" s="21" t="s">
        <v>200</v>
      </c>
      <c r="F56" s="61">
        <v>5.7830000000000004</v>
      </c>
      <c r="G56" s="21" t="s">
        <v>229</v>
      </c>
      <c r="H56" s="21" t="s">
        <v>310</v>
      </c>
      <c r="I56" s="21" t="s">
        <v>313</v>
      </c>
      <c r="J56" s="43">
        <v>16</v>
      </c>
      <c r="K56" s="43" t="s">
        <v>204</v>
      </c>
      <c r="L56" s="58">
        <v>105.12</v>
      </c>
      <c r="M56" s="58">
        <v>11.35</v>
      </c>
      <c r="N56" s="62">
        <f t="shared" si="15"/>
        <v>1.135</v>
      </c>
      <c r="O56" s="58">
        <v>174</v>
      </c>
      <c r="P56" s="47">
        <f t="shared" si="10"/>
        <v>0.87</v>
      </c>
      <c r="Q56" s="23">
        <v>0</v>
      </c>
      <c r="R56" s="23">
        <v>0</v>
      </c>
      <c r="S56" s="23">
        <v>0</v>
      </c>
      <c r="T56" s="23">
        <v>149</v>
      </c>
      <c r="U56" s="23">
        <v>0</v>
      </c>
      <c r="V56" s="23">
        <v>1</v>
      </c>
      <c r="W56" s="48">
        <f t="shared" si="11"/>
        <v>149</v>
      </c>
      <c r="X56" s="48">
        <f t="shared" si="12"/>
        <v>1</v>
      </c>
      <c r="Y56" s="23" t="s">
        <v>204</v>
      </c>
      <c r="Z56" s="23" t="s">
        <v>204</v>
      </c>
      <c r="AA56" s="23" t="s">
        <v>204</v>
      </c>
      <c r="AB56" s="23" t="s">
        <v>204</v>
      </c>
      <c r="AC56" s="49">
        <f t="shared" si="13"/>
        <v>99.333333333333329</v>
      </c>
      <c r="AD56" s="50">
        <f t="shared" si="14"/>
        <v>0</v>
      </c>
      <c r="AE56" s="50" t="s">
        <v>205</v>
      </c>
      <c r="AF56" s="50" t="s">
        <v>205</v>
      </c>
      <c r="AG56" s="41">
        <f t="shared" si="8"/>
        <v>45917</v>
      </c>
      <c r="AH56" s="74">
        <v>24.7</v>
      </c>
      <c r="AI56" s="54">
        <v>3.77</v>
      </c>
      <c r="AJ56" s="54">
        <v>4.05</v>
      </c>
      <c r="AK56" s="54">
        <v>0.01</v>
      </c>
      <c r="AL56" s="54">
        <v>1.99</v>
      </c>
      <c r="AM56" s="52" t="s">
        <v>206</v>
      </c>
      <c r="AN56" s="52">
        <v>0</v>
      </c>
      <c r="AO56" s="52">
        <v>416</v>
      </c>
      <c r="AP56" s="52">
        <v>408</v>
      </c>
    </row>
    <row r="57" spans="1:42" x14ac:dyDescent="0.4">
      <c r="A57" s="23" t="s">
        <v>314</v>
      </c>
      <c r="B57" s="60">
        <v>45917</v>
      </c>
      <c r="C57" s="60">
        <v>45918</v>
      </c>
      <c r="D57" s="21">
        <v>6</v>
      </c>
      <c r="E57" s="21" t="s">
        <v>200</v>
      </c>
      <c r="F57" s="61">
        <v>2.5230000000000001</v>
      </c>
      <c r="G57" s="21" t="s">
        <v>216</v>
      </c>
      <c r="H57" s="21" t="s">
        <v>310</v>
      </c>
      <c r="I57" s="21" t="s">
        <v>315</v>
      </c>
      <c r="J57" s="43">
        <v>23</v>
      </c>
      <c r="K57" s="43" t="s">
        <v>204</v>
      </c>
      <c r="L57" s="58">
        <v>125.5</v>
      </c>
      <c r="M57" s="58">
        <v>13.2</v>
      </c>
      <c r="N57" s="62">
        <f t="shared" si="15"/>
        <v>1.3199999999999998</v>
      </c>
      <c r="O57" s="58">
        <v>190</v>
      </c>
      <c r="P57" s="47">
        <f t="shared" si="10"/>
        <v>0.95</v>
      </c>
      <c r="Q57" s="23">
        <v>0</v>
      </c>
      <c r="R57" s="23">
        <v>0</v>
      </c>
      <c r="S57" s="23">
        <v>1</v>
      </c>
      <c r="T57" s="23">
        <v>98</v>
      </c>
      <c r="U57" s="23">
        <v>0</v>
      </c>
      <c r="V57" s="23">
        <v>1</v>
      </c>
      <c r="W57" s="48">
        <f t="shared" si="11"/>
        <v>98</v>
      </c>
      <c r="X57" s="48">
        <f t="shared" si="12"/>
        <v>2</v>
      </c>
      <c r="Y57" s="23" t="s">
        <v>204</v>
      </c>
      <c r="Z57" s="23" t="s">
        <v>204</v>
      </c>
      <c r="AA57" s="23" t="s">
        <v>204</v>
      </c>
      <c r="AB57" s="23" t="s">
        <v>204</v>
      </c>
      <c r="AC57" s="49">
        <f t="shared" si="13"/>
        <v>98</v>
      </c>
      <c r="AD57" s="50">
        <f t="shared" si="14"/>
        <v>0</v>
      </c>
      <c r="AE57" s="50" t="s">
        <v>205</v>
      </c>
      <c r="AF57" s="50" t="s">
        <v>205</v>
      </c>
      <c r="AG57" s="41">
        <f t="shared" si="8"/>
        <v>45918</v>
      </c>
      <c r="AH57" s="74">
        <v>23.4</v>
      </c>
      <c r="AI57" s="54">
        <v>3.62</v>
      </c>
      <c r="AJ57" s="54">
        <v>4.8</v>
      </c>
      <c r="AK57" s="54">
        <v>0.01</v>
      </c>
      <c r="AL57" s="54">
        <v>1.62</v>
      </c>
      <c r="AM57" s="52" t="s">
        <v>206</v>
      </c>
      <c r="AN57" s="52">
        <v>0.01</v>
      </c>
      <c r="AO57" s="52">
        <v>1164</v>
      </c>
      <c r="AP57" s="52">
        <v>1117</v>
      </c>
    </row>
    <row r="58" spans="1:42" x14ac:dyDescent="0.4">
      <c r="A58" s="23" t="s">
        <v>316</v>
      </c>
      <c r="B58" s="60">
        <v>45917</v>
      </c>
      <c r="C58" s="60">
        <v>45918</v>
      </c>
      <c r="D58" s="21">
        <v>12</v>
      </c>
      <c r="E58" s="21" t="s">
        <v>200</v>
      </c>
      <c r="F58" s="61">
        <v>4.8380000000000001</v>
      </c>
      <c r="G58" s="21" t="s">
        <v>216</v>
      </c>
      <c r="H58" s="21" t="s">
        <v>317</v>
      </c>
      <c r="I58" s="21" t="s">
        <v>318</v>
      </c>
      <c r="J58" s="43">
        <v>18</v>
      </c>
      <c r="K58" s="43" t="s">
        <v>204</v>
      </c>
      <c r="L58" s="58">
        <v>127.5</v>
      </c>
      <c r="M58" s="58">
        <v>11.3</v>
      </c>
      <c r="N58" s="62">
        <f t="shared" si="15"/>
        <v>1.1300000000000001</v>
      </c>
      <c r="O58" s="58">
        <v>174</v>
      </c>
      <c r="P58" s="47">
        <f t="shared" si="10"/>
        <v>0.87</v>
      </c>
      <c r="Q58" s="23">
        <v>0</v>
      </c>
      <c r="R58" s="23">
        <v>0</v>
      </c>
      <c r="S58" s="23">
        <v>0</v>
      </c>
      <c r="T58" s="23">
        <v>99</v>
      </c>
      <c r="U58" s="23">
        <v>0</v>
      </c>
      <c r="V58" s="23">
        <v>1</v>
      </c>
      <c r="W58" s="48">
        <f t="shared" si="11"/>
        <v>99</v>
      </c>
      <c r="X58" s="48">
        <f t="shared" si="12"/>
        <v>1</v>
      </c>
      <c r="Y58" s="23" t="s">
        <v>204</v>
      </c>
      <c r="Z58" s="23" t="s">
        <v>204</v>
      </c>
      <c r="AA58" s="23" t="s">
        <v>204</v>
      </c>
      <c r="AB58" s="23" t="s">
        <v>204</v>
      </c>
      <c r="AC58" s="49">
        <f t="shared" si="13"/>
        <v>99</v>
      </c>
      <c r="AD58" s="50">
        <f t="shared" si="14"/>
        <v>0</v>
      </c>
      <c r="AE58" s="50" t="s">
        <v>205</v>
      </c>
      <c r="AF58" s="50" t="s">
        <v>205</v>
      </c>
      <c r="AG58" s="41">
        <f t="shared" si="8"/>
        <v>45918</v>
      </c>
      <c r="AH58" s="74">
        <v>21.1</v>
      </c>
      <c r="AI58" s="54">
        <v>3.31</v>
      </c>
      <c r="AJ58" s="54">
        <v>7.05</v>
      </c>
      <c r="AK58" s="54">
        <v>0.02</v>
      </c>
      <c r="AL58" s="54">
        <v>1.62</v>
      </c>
      <c r="AM58" s="52" t="s">
        <v>206</v>
      </c>
      <c r="AN58" s="52">
        <v>0</v>
      </c>
      <c r="AO58" s="52">
        <v>644</v>
      </c>
      <c r="AP58" s="52">
        <v>586</v>
      </c>
    </row>
    <row r="59" spans="1:42" x14ac:dyDescent="0.4">
      <c r="A59" s="23" t="s">
        <v>319</v>
      </c>
      <c r="B59" s="60">
        <v>45917</v>
      </c>
      <c r="C59" s="60">
        <v>45918</v>
      </c>
      <c r="D59" s="21">
        <v>30</v>
      </c>
      <c r="E59" s="21" t="s">
        <v>200</v>
      </c>
      <c r="F59" s="61">
        <v>12.609</v>
      </c>
      <c r="G59" s="21" t="s">
        <v>229</v>
      </c>
      <c r="H59" s="21" t="s">
        <v>230</v>
      </c>
      <c r="I59" s="21" t="s">
        <v>320</v>
      </c>
      <c r="J59" s="43">
        <v>13</v>
      </c>
      <c r="K59" s="43" t="s">
        <v>204</v>
      </c>
      <c r="L59" s="58">
        <v>190</v>
      </c>
      <c r="M59" s="58">
        <v>14.12</v>
      </c>
      <c r="N59" s="62">
        <f t="shared" si="15"/>
        <v>1.4119999999999999</v>
      </c>
      <c r="O59" s="58">
        <v>250</v>
      </c>
      <c r="P59" s="47">
        <f t="shared" si="10"/>
        <v>1.25</v>
      </c>
      <c r="Q59" s="23">
        <v>0</v>
      </c>
      <c r="R59" s="23">
        <v>0</v>
      </c>
      <c r="S59" s="23">
        <v>3</v>
      </c>
      <c r="T59" s="23">
        <v>189</v>
      </c>
      <c r="U59" s="23">
        <v>0</v>
      </c>
      <c r="V59" s="23">
        <v>8</v>
      </c>
      <c r="W59" s="48">
        <f t="shared" si="11"/>
        <v>189</v>
      </c>
      <c r="X59" s="48">
        <f t="shared" si="12"/>
        <v>11</v>
      </c>
      <c r="Y59" s="23" t="s">
        <v>204</v>
      </c>
      <c r="Z59" s="23" t="s">
        <v>204</v>
      </c>
      <c r="AA59" s="23" t="s">
        <v>204</v>
      </c>
      <c r="AB59" s="23" t="s">
        <v>204</v>
      </c>
      <c r="AC59" s="49">
        <f t="shared" si="13"/>
        <v>94.5</v>
      </c>
      <c r="AD59" s="50">
        <f t="shared" si="14"/>
        <v>0</v>
      </c>
      <c r="AE59" s="50" t="s">
        <v>205</v>
      </c>
      <c r="AF59" s="50" t="s">
        <v>205</v>
      </c>
      <c r="AG59" s="41">
        <f t="shared" si="8"/>
        <v>45918</v>
      </c>
      <c r="AH59" s="74">
        <v>22.2</v>
      </c>
      <c r="AI59" s="54">
        <v>3.55</v>
      </c>
      <c r="AJ59" s="54">
        <v>5.85</v>
      </c>
      <c r="AK59" s="54">
        <v>0.17</v>
      </c>
      <c r="AL59" s="54">
        <v>2.48</v>
      </c>
      <c r="AM59" s="52" t="s">
        <v>206</v>
      </c>
      <c r="AN59" s="52">
        <v>0.05</v>
      </c>
      <c r="AO59" s="52">
        <v>390</v>
      </c>
      <c r="AP59" s="52">
        <v>357</v>
      </c>
    </row>
    <row r="60" spans="1:42" x14ac:dyDescent="0.4">
      <c r="A60" s="23" t="s">
        <v>321</v>
      </c>
      <c r="B60" s="60">
        <v>45918</v>
      </c>
      <c r="C60" s="60">
        <v>45919</v>
      </c>
      <c r="D60" s="21">
        <v>40</v>
      </c>
      <c r="E60" s="21" t="s">
        <v>200</v>
      </c>
      <c r="F60" s="72">
        <v>20.061</v>
      </c>
      <c r="G60" s="21" t="s">
        <v>216</v>
      </c>
      <c r="H60" s="21" t="s">
        <v>209</v>
      </c>
      <c r="I60" s="21" t="s">
        <v>322</v>
      </c>
      <c r="J60" s="43">
        <v>20</v>
      </c>
      <c r="K60" s="43" t="s">
        <v>204</v>
      </c>
      <c r="L60" s="58">
        <v>181.83</v>
      </c>
      <c r="M60" s="58">
        <v>12.52</v>
      </c>
      <c r="N60" s="62">
        <f t="shared" si="15"/>
        <v>1.252</v>
      </c>
      <c r="O60" s="58">
        <v>259</v>
      </c>
      <c r="P60" s="47">
        <f t="shared" si="10"/>
        <v>1.2949999999999999</v>
      </c>
      <c r="Q60" s="23">
        <v>0</v>
      </c>
      <c r="R60" s="23">
        <v>0</v>
      </c>
      <c r="S60" s="23">
        <v>0</v>
      </c>
      <c r="T60" s="23">
        <v>196</v>
      </c>
      <c r="U60" s="23">
        <v>4</v>
      </c>
      <c r="V60" s="23">
        <v>0</v>
      </c>
      <c r="W60" s="48">
        <f t="shared" si="11"/>
        <v>200</v>
      </c>
      <c r="X60" s="48">
        <f t="shared" si="12"/>
        <v>0</v>
      </c>
      <c r="Y60" s="23" t="s">
        <v>204</v>
      </c>
      <c r="Z60" s="23" t="s">
        <v>204</v>
      </c>
      <c r="AA60" s="23" t="s">
        <v>204</v>
      </c>
      <c r="AB60" s="23" t="s">
        <v>204</v>
      </c>
      <c r="AC60" s="49">
        <f t="shared" si="13"/>
        <v>100</v>
      </c>
      <c r="AD60" s="50">
        <f t="shared" si="14"/>
        <v>0</v>
      </c>
      <c r="AE60" s="50" t="s">
        <v>205</v>
      </c>
      <c r="AF60" s="50" t="s">
        <v>205</v>
      </c>
      <c r="AG60" s="41">
        <f t="shared" si="8"/>
        <v>45919</v>
      </c>
      <c r="AH60" s="43">
        <v>20.2</v>
      </c>
      <c r="AI60" s="51">
        <v>3.52</v>
      </c>
      <c r="AJ60" s="54">
        <v>6.6</v>
      </c>
      <c r="AK60" s="51">
        <v>0.05</v>
      </c>
      <c r="AL60" s="54">
        <v>3.68</v>
      </c>
      <c r="AM60" s="52" t="s">
        <v>206</v>
      </c>
      <c r="AN60" s="52">
        <v>0.15</v>
      </c>
      <c r="AO60" s="52" t="s">
        <v>204</v>
      </c>
      <c r="AP60" s="52" t="s">
        <v>204</v>
      </c>
    </row>
    <row r="61" spans="1:42" x14ac:dyDescent="0.4">
      <c r="A61" s="23" t="s">
        <v>323</v>
      </c>
      <c r="B61" s="60">
        <v>45918</v>
      </c>
      <c r="C61" s="60">
        <v>45919</v>
      </c>
      <c r="D61" s="21">
        <v>42</v>
      </c>
      <c r="E61" s="21" t="s">
        <v>200</v>
      </c>
      <c r="F61" s="61">
        <v>17.869</v>
      </c>
      <c r="G61" s="21" t="s">
        <v>229</v>
      </c>
      <c r="H61" s="21" t="s">
        <v>230</v>
      </c>
      <c r="I61" s="21" t="s">
        <v>320</v>
      </c>
      <c r="J61" s="43">
        <v>23.5</v>
      </c>
      <c r="K61" s="43" t="s">
        <v>204</v>
      </c>
      <c r="L61" s="58">
        <v>294.125</v>
      </c>
      <c r="M61" s="58">
        <v>12.6</v>
      </c>
      <c r="N61" s="62">
        <f t="shared" si="15"/>
        <v>1.26</v>
      </c>
      <c r="O61" s="58">
        <v>257</v>
      </c>
      <c r="P61" s="47">
        <f t="shared" si="10"/>
        <v>1.2849999999999999</v>
      </c>
      <c r="Q61" s="23">
        <v>0</v>
      </c>
      <c r="R61" s="23">
        <v>0</v>
      </c>
      <c r="S61" s="23">
        <v>0</v>
      </c>
      <c r="T61" s="23">
        <v>248</v>
      </c>
      <c r="U61" s="23">
        <v>0</v>
      </c>
      <c r="V61" s="23">
        <v>2</v>
      </c>
      <c r="W61" s="48">
        <f t="shared" si="11"/>
        <v>248</v>
      </c>
      <c r="X61" s="48">
        <f t="shared" si="12"/>
        <v>2</v>
      </c>
      <c r="Y61" s="23" t="s">
        <v>204</v>
      </c>
      <c r="Z61" s="23" t="s">
        <v>204</v>
      </c>
      <c r="AA61" s="23" t="s">
        <v>204</v>
      </c>
      <c r="AB61" s="23" t="s">
        <v>204</v>
      </c>
      <c r="AC61" s="49">
        <f t="shared" si="13"/>
        <v>99.2</v>
      </c>
      <c r="AD61" s="50">
        <f t="shared" si="14"/>
        <v>0</v>
      </c>
      <c r="AE61" s="50" t="s">
        <v>205</v>
      </c>
      <c r="AF61" s="50" t="s">
        <v>205</v>
      </c>
      <c r="AG61" s="41">
        <f t="shared" si="8"/>
        <v>45919</v>
      </c>
      <c r="AH61" s="43">
        <v>21.9</v>
      </c>
      <c r="AI61" s="51">
        <v>3.44</v>
      </c>
      <c r="AJ61" s="54">
        <v>5.85</v>
      </c>
      <c r="AK61" s="51">
        <v>0.03</v>
      </c>
      <c r="AL61" s="54">
        <v>2.02</v>
      </c>
      <c r="AM61" s="52" t="s">
        <v>206</v>
      </c>
      <c r="AN61" s="52">
        <v>0.17</v>
      </c>
      <c r="AO61" s="52">
        <v>442</v>
      </c>
      <c r="AP61" s="52">
        <v>365</v>
      </c>
    </row>
    <row r="62" spans="1:42" x14ac:dyDescent="0.4">
      <c r="A62" s="23" t="s">
        <v>324</v>
      </c>
      <c r="B62" s="60">
        <v>45918</v>
      </c>
      <c r="C62" s="60">
        <v>45920</v>
      </c>
      <c r="D62" s="21">
        <v>18</v>
      </c>
      <c r="E62" s="21" t="s">
        <v>200</v>
      </c>
      <c r="F62" s="61">
        <v>7.4029999999999996</v>
      </c>
      <c r="G62" s="21" t="s">
        <v>229</v>
      </c>
      <c r="H62" s="21" t="s">
        <v>230</v>
      </c>
      <c r="I62" s="21" t="s">
        <v>231</v>
      </c>
      <c r="J62" s="43">
        <v>12</v>
      </c>
      <c r="K62" s="43" t="s">
        <v>204</v>
      </c>
      <c r="L62" s="58">
        <v>149.75</v>
      </c>
      <c r="M62" s="58">
        <v>14.1</v>
      </c>
      <c r="N62" s="62">
        <f t="shared" si="15"/>
        <v>1.41</v>
      </c>
      <c r="O62" s="58">
        <v>280</v>
      </c>
      <c r="P62" s="47">
        <f t="shared" si="10"/>
        <v>1.4</v>
      </c>
      <c r="Q62" s="23">
        <v>0</v>
      </c>
      <c r="R62" s="23">
        <v>0</v>
      </c>
      <c r="S62" s="23">
        <v>5</v>
      </c>
      <c r="T62" s="23">
        <v>133</v>
      </c>
      <c r="U62" s="23">
        <v>5</v>
      </c>
      <c r="V62" s="23">
        <v>7</v>
      </c>
      <c r="W62" s="48">
        <f t="shared" si="11"/>
        <v>138</v>
      </c>
      <c r="X62" s="48">
        <f t="shared" si="12"/>
        <v>12</v>
      </c>
      <c r="Y62" s="23"/>
      <c r="Z62" s="23"/>
      <c r="AA62" s="23"/>
      <c r="AB62" s="75"/>
      <c r="AC62" s="49">
        <f t="shared" si="13"/>
        <v>92</v>
      </c>
      <c r="AD62" s="50">
        <f t="shared" si="14"/>
        <v>0</v>
      </c>
      <c r="AE62" s="50" t="s">
        <v>205</v>
      </c>
      <c r="AF62" s="50" t="s">
        <v>205</v>
      </c>
      <c r="AG62" s="41">
        <f t="shared" si="8"/>
        <v>45920</v>
      </c>
      <c r="AH62" s="43">
        <v>22.8</v>
      </c>
      <c r="AI62" s="51">
        <v>3.4</v>
      </c>
      <c r="AJ62" s="54">
        <v>6.75</v>
      </c>
      <c r="AK62" s="51">
        <v>7.0000000000000007E-2</v>
      </c>
      <c r="AL62" s="54">
        <v>2.79</v>
      </c>
      <c r="AM62" s="52" t="s">
        <v>206</v>
      </c>
      <c r="AN62" s="52">
        <v>0.15</v>
      </c>
      <c r="AO62" s="52">
        <v>483</v>
      </c>
      <c r="AP62" s="52">
        <v>394</v>
      </c>
    </row>
    <row r="63" spans="1:42" x14ac:dyDescent="0.4">
      <c r="A63" s="23" t="s">
        <v>325</v>
      </c>
      <c r="B63" s="60">
        <v>45919</v>
      </c>
      <c r="C63" s="60">
        <v>45920</v>
      </c>
      <c r="D63" s="21">
        <v>18</v>
      </c>
      <c r="E63" s="21" t="s">
        <v>200</v>
      </c>
      <c r="F63" s="61">
        <v>8.0530000000000008</v>
      </c>
      <c r="G63" s="21" t="s">
        <v>216</v>
      </c>
      <c r="H63" s="21" t="s">
        <v>310</v>
      </c>
      <c r="I63" s="21" t="s">
        <v>311</v>
      </c>
      <c r="J63" s="43">
        <v>18</v>
      </c>
      <c r="K63" s="43" t="s">
        <v>204</v>
      </c>
      <c r="L63" s="57">
        <v>135.5</v>
      </c>
      <c r="M63" s="57">
        <v>12.12</v>
      </c>
      <c r="N63" s="62">
        <f t="shared" si="15"/>
        <v>1.212</v>
      </c>
      <c r="O63" s="58">
        <v>209</v>
      </c>
      <c r="P63" s="47">
        <f t="shared" si="10"/>
        <v>1.0449999999999999</v>
      </c>
      <c r="Q63" s="23">
        <v>0</v>
      </c>
      <c r="R63" s="23">
        <v>0</v>
      </c>
      <c r="S63" s="23">
        <v>0</v>
      </c>
      <c r="T63" s="23">
        <v>149</v>
      </c>
      <c r="U63" s="23">
        <v>0</v>
      </c>
      <c r="V63" s="23">
        <v>1</v>
      </c>
      <c r="W63" s="48">
        <f t="shared" si="11"/>
        <v>149</v>
      </c>
      <c r="X63" s="48">
        <f t="shared" si="12"/>
        <v>1</v>
      </c>
      <c r="Y63" s="23"/>
      <c r="Z63" s="23"/>
      <c r="AA63" s="23"/>
      <c r="AB63" s="49"/>
      <c r="AC63" s="49">
        <f t="shared" si="13"/>
        <v>99.333333333333329</v>
      </c>
      <c r="AD63" s="50">
        <f t="shared" si="14"/>
        <v>0</v>
      </c>
      <c r="AE63" s="50" t="s">
        <v>205</v>
      </c>
      <c r="AF63" s="50" t="s">
        <v>205</v>
      </c>
      <c r="AG63" s="41">
        <f t="shared" si="8"/>
        <v>45920</v>
      </c>
      <c r="AH63" s="43">
        <v>23.2</v>
      </c>
      <c r="AI63" s="51">
        <v>3.62</v>
      </c>
      <c r="AJ63" s="51">
        <v>5.4</v>
      </c>
      <c r="AK63" s="51">
        <v>0.02</v>
      </c>
      <c r="AL63" s="52">
        <v>2.17</v>
      </c>
      <c r="AM63" s="52" t="s">
        <v>206</v>
      </c>
      <c r="AN63" s="52">
        <v>0.06</v>
      </c>
      <c r="AO63" s="52">
        <v>633</v>
      </c>
      <c r="AP63" s="52">
        <v>455</v>
      </c>
    </row>
    <row r="64" spans="1:42" x14ac:dyDescent="0.4">
      <c r="A64" s="23" t="s">
        <v>326</v>
      </c>
      <c r="B64" s="60">
        <v>45920</v>
      </c>
      <c r="C64" s="60">
        <v>45921</v>
      </c>
      <c r="D64" s="21">
        <v>49</v>
      </c>
      <c r="E64" s="21" t="s">
        <v>200</v>
      </c>
      <c r="F64" s="61">
        <v>19.594000000000001</v>
      </c>
      <c r="G64" s="21" t="s">
        <v>229</v>
      </c>
      <c r="H64" s="21" t="s">
        <v>213</v>
      </c>
      <c r="I64" s="21" t="s">
        <v>327</v>
      </c>
      <c r="J64" s="43">
        <v>24</v>
      </c>
      <c r="K64" s="43" t="s">
        <v>204</v>
      </c>
      <c r="L64" s="57">
        <v>140.31</v>
      </c>
      <c r="M64" s="57">
        <v>12.23</v>
      </c>
      <c r="N64" s="62">
        <f t="shared" si="15"/>
        <v>1.2230000000000001</v>
      </c>
      <c r="O64" s="58">
        <v>236</v>
      </c>
      <c r="P64" s="47">
        <f t="shared" si="10"/>
        <v>1.18</v>
      </c>
      <c r="Q64" s="23">
        <v>0</v>
      </c>
      <c r="R64" s="23">
        <v>0</v>
      </c>
      <c r="S64" s="23">
        <v>0</v>
      </c>
      <c r="T64" s="23">
        <v>249</v>
      </c>
      <c r="U64" s="23">
        <v>0</v>
      </c>
      <c r="V64" s="23">
        <v>1</v>
      </c>
      <c r="W64" s="48">
        <f t="shared" si="11"/>
        <v>249</v>
      </c>
      <c r="X64" s="48">
        <f t="shared" si="12"/>
        <v>1</v>
      </c>
      <c r="Y64" s="23"/>
      <c r="Z64" s="23"/>
      <c r="AA64" s="23"/>
      <c r="AB64" s="49"/>
      <c r="AC64" s="49">
        <f t="shared" si="13"/>
        <v>99.6</v>
      </c>
      <c r="AD64" s="50">
        <f t="shared" si="14"/>
        <v>0</v>
      </c>
      <c r="AE64" s="50" t="s">
        <v>205</v>
      </c>
      <c r="AF64" s="50" t="s">
        <v>205</v>
      </c>
      <c r="AG64" s="41">
        <f t="shared" si="8"/>
        <v>45921</v>
      </c>
      <c r="AH64" s="43">
        <v>23.3</v>
      </c>
      <c r="AI64" s="51">
        <v>3.68</v>
      </c>
      <c r="AJ64" s="51">
        <v>5.55</v>
      </c>
      <c r="AK64" s="51">
        <v>0.09</v>
      </c>
      <c r="AL64" s="52">
        <v>3.09</v>
      </c>
      <c r="AM64" s="52" t="s">
        <v>206</v>
      </c>
      <c r="AN64" s="52">
        <v>0</v>
      </c>
      <c r="AO64" s="52">
        <v>759</v>
      </c>
      <c r="AP64" s="52">
        <v>436</v>
      </c>
    </row>
    <row r="65" spans="1:42" x14ac:dyDescent="0.4">
      <c r="A65" s="23" t="s">
        <v>328</v>
      </c>
      <c r="B65" s="60">
        <v>45921</v>
      </c>
      <c r="C65" s="60">
        <v>45922</v>
      </c>
      <c r="D65" s="21">
        <v>3</v>
      </c>
      <c r="E65" s="21" t="s">
        <v>200</v>
      </c>
      <c r="F65" s="56">
        <v>1.337</v>
      </c>
      <c r="G65" s="21" t="s">
        <v>216</v>
      </c>
      <c r="H65" s="21" t="s">
        <v>329</v>
      </c>
      <c r="I65" s="21" t="s">
        <v>330</v>
      </c>
      <c r="J65" s="43">
        <v>19.5</v>
      </c>
      <c r="K65" s="43" t="s">
        <v>204</v>
      </c>
      <c r="L65" s="57">
        <v>127.25</v>
      </c>
      <c r="M65" s="57">
        <v>13.6</v>
      </c>
      <c r="N65" s="62">
        <f t="shared" si="15"/>
        <v>1.3599999999999999</v>
      </c>
      <c r="O65" s="58">
        <v>230</v>
      </c>
      <c r="P65" s="76">
        <f t="shared" si="10"/>
        <v>1.1499999999999999</v>
      </c>
      <c r="Q65" s="23">
        <v>0</v>
      </c>
      <c r="R65" s="23">
        <v>0</v>
      </c>
      <c r="S65" s="23">
        <v>2</v>
      </c>
      <c r="T65" s="23">
        <v>91</v>
      </c>
      <c r="U65" s="23">
        <v>4</v>
      </c>
      <c r="V65" s="23">
        <v>3</v>
      </c>
      <c r="W65" s="48">
        <f t="shared" si="11"/>
        <v>95</v>
      </c>
      <c r="X65" s="48">
        <f t="shared" si="12"/>
        <v>5</v>
      </c>
      <c r="Y65" s="23"/>
      <c r="Z65" s="23"/>
      <c r="AA65" s="23"/>
      <c r="AB65" s="49"/>
      <c r="AC65" s="49">
        <f t="shared" si="13"/>
        <v>95</v>
      </c>
      <c r="AD65" s="50">
        <f t="shared" si="14"/>
        <v>0</v>
      </c>
      <c r="AE65" s="50" t="s">
        <v>205</v>
      </c>
      <c r="AF65" s="50" t="s">
        <v>205</v>
      </c>
      <c r="AG65" s="41">
        <f t="shared" si="8"/>
        <v>45922</v>
      </c>
      <c r="AH65" s="43">
        <v>23.3</v>
      </c>
      <c r="AI65" s="51">
        <v>3.59</v>
      </c>
      <c r="AJ65" s="51">
        <v>4.3499999999999996</v>
      </c>
      <c r="AK65" s="51">
        <v>0.02</v>
      </c>
      <c r="AL65" s="52">
        <v>1.05</v>
      </c>
      <c r="AM65" s="52" t="s">
        <v>206</v>
      </c>
      <c r="AN65" s="52">
        <v>0</v>
      </c>
      <c r="AO65" s="52">
        <v>642</v>
      </c>
      <c r="AP65" s="52">
        <v>404</v>
      </c>
    </row>
    <row r="66" spans="1:42" x14ac:dyDescent="0.4">
      <c r="A66" s="23" t="s">
        <v>331</v>
      </c>
      <c r="B66" s="60">
        <v>45921</v>
      </c>
      <c r="C66" s="60">
        <v>45922</v>
      </c>
      <c r="D66" s="21">
        <v>3</v>
      </c>
      <c r="E66" s="21" t="s">
        <v>200</v>
      </c>
      <c r="F66" s="56">
        <v>1.478</v>
      </c>
      <c r="G66" s="21" t="s">
        <v>216</v>
      </c>
      <c r="H66" s="21" t="s">
        <v>329</v>
      </c>
      <c r="I66" s="21" t="s">
        <v>332</v>
      </c>
      <c r="J66" s="43">
        <v>14.5</v>
      </c>
      <c r="K66" s="43" t="s">
        <v>204</v>
      </c>
      <c r="L66" s="57">
        <v>165.75</v>
      </c>
      <c r="M66" s="57">
        <v>13.8</v>
      </c>
      <c r="N66" s="62">
        <f t="shared" si="15"/>
        <v>1.3800000000000001</v>
      </c>
      <c r="O66" s="58">
        <v>217</v>
      </c>
      <c r="P66" s="76">
        <f t="shared" si="10"/>
        <v>1.085</v>
      </c>
      <c r="Q66" s="23">
        <v>0</v>
      </c>
      <c r="R66" s="23">
        <v>0</v>
      </c>
      <c r="S66" s="23">
        <v>2</v>
      </c>
      <c r="T66" s="23">
        <v>97</v>
      </c>
      <c r="U66" s="23">
        <v>0</v>
      </c>
      <c r="V66" s="23">
        <v>1</v>
      </c>
      <c r="W66" s="48">
        <f t="shared" si="11"/>
        <v>97</v>
      </c>
      <c r="X66" s="48">
        <f t="shared" si="12"/>
        <v>3</v>
      </c>
      <c r="Y66" s="23"/>
      <c r="Z66" s="23"/>
      <c r="AA66" s="23"/>
      <c r="AB66" s="49"/>
      <c r="AC66" s="49">
        <f t="shared" si="13"/>
        <v>97</v>
      </c>
      <c r="AD66" s="50">
        <f t="shared" si="14"/>
        <v>0</v>
      </c>
      <c r="AE66" s="50" t="s">
        <v>205</v>
      </c>
      <c r="AF66" s="50" t="s">
        <v>205</v>
      </c>
      <c r="AG66" s="41">
        <f t="shared" si="8"/>
        <v>45922</v>
      </c>
      <c r="AH66" s="43">
        <v>23.1</v>
      </c>
      <c r="AI66" s="51">
        <v>3.56</v>
      </c>
      <c r="AJ66" s="51">
        <v>4.2</v>
      </c>
      <c r="AK66" s="51">
        <v>0.03</v>
      </c>
      <c r="AL66" s="51">
        <v>1.02</v>
      </c>
      <c r="AM66" s="52" t="s">
        <v>206</v>
      </c>
      <c r="AN66" s="52">
        <v>0</v>
      </c>
      <c r="AO66" s="52">
        <v>624</v>
      </c>
      <c r="AP66" s="52">
        <v>543</v>
      </c>
    </row>
    <row r="67" spans="1:42" x14ac:dyDescent="0.4">
      <c r="A67" s="23" t="s">
        <v>333</v>
      </c>
      <c r="B67" s="60">
        <v>45922</v>
      </c>
      <c r="C67" s="60">
        <v>45923</v>
      </c>
      <c r="D67" s="21">
        <v>33</v>
      </c>
      <c r="E67" s="21" t="s">
        <v>200</v>
      </c>
      <c r="F67" s="56">
        <v>12.4115</v>
      </c>
      <c r="G67" s="21" t="s">
        <v>229</v>
      </c>
      <c r="H67" s="21" t="s">
        <v>213</v>
      </c>
      <c r="I67" s="21" t="s">
        <v>334</v>
      </c>
      <c r="J67" s="43">
        <v>25</v>
      </c>
      <c r="K67" s="43" t="s">
        <v>204</v>
      </c>
      <c r="L67" s="57">
        <v>192.9</v>
      </c>
      <c r="M67" s="57">
        <v>13.2</v>
      </c>
      <c r="N67" s="62">
        <f t="shared" si="15"/>
        <v>1.3199999999999998</v>
      </c>
      <c r="O67" s="58">
        <v>296</v>
      </c>
      <c r="P67" s="76">
        <f t="shared" si="10"/>
        <v>1.48</v>
      </c>
      <c r="Q67" s="23">
        <v>0</v>
      </c>
      <c r="R67" s="23">
        <v>0</v>
      </c>
      <c r="S67" s="23">
        <v>0</v>
      </c>
      <c r="T67" s="23">
        <v>195</v>
      </c>
      <c r="U67" s="23">
        <v>0</v>
      </c>
      <c r="V67" s="23">
        <v>5</v>
      </c>
      <c r="W67" s="48">
        <f t="shared" si="11"/>
        <v>195</v>
      </c>
      <c r="X67" s="48">
        <f t="shared" si="12"/>
        <v>5</v>
      </c>
      <c r="Y67" s="23"/>
      <c r="Z67" s="23"/>
      <c r="AA67" s="23"/>
      <c r="AB67" s="49"/>
      <c r="AC67" s="49">
        <f t="shared" si="13"/>
        <v>97.5</v>
      </c>
      <c r="AD67" s="50">
        <f t="shared" si="14"/>
        <v>0</v>
      </c>
      <c r="AE67" s="50" t="s">
        <v>205</v>
      </c>
      <c r="AF67" s="50" t="s">
        <v>205</v>
      </c>
      <c r="AG67" s="41">
        <f t="shared" si="8"/>
        <v>45923</v>
      </c>
      <c r="AH67" s="43">
        <v>22.1</v>
      </c>
      <c r="AI67" s="51">
        <v>3.57</v>
      </c>
      <c r="AJ67" s="51">
        <v>5.7</v>
      </c>
      <c r="AK67" s="51">
        <v>0.04</v>
      </c>
      <c r="AL67" s="51">
        <v>2.5299999999999998</v>
      </c>
      <c r="AM67" s="52" t="s">
        <v>206</v>
      </c>
      <c r="AN67" s="52">
        <v>0.01</v>
      </c>
      <c r="AO67" s="52">
        <v>746</v>
      </c>
      <c r="AP67" s="52">
        <v>576</v>
      </c>
    </row>
    <row r="68" spans="1:42" x14ac:dyDescent="0.4">
      <c r="A68" s="23" t="s">
        <v>335</v>
      </c>
      <c r="B68" s="60">
        <v>45924</v>
      </c>
      <c r="C68" s="60">
        <v>45925</v>
      </c>
      <c r="D68" s="21">
        <v>7</v>
      </c>
      <c r="E68" s="21" t="s">
        <v>200</v>
      </c>
      <c r="F68" s="56">
        <v>2.8210000000000002</v>
      </c>
      <c r="G68" s="21" t="s">
        <v>336</v>
      </c>
      <c r="H68" s="21" t="s">
        <v>213</v>
      </c>
      <c r="I68" s="21" t="s">
        <v>337</v>
      </c>
      <c r="J68" s="23">
        <v>19</v>
      </c>
      <c r="K68" s="23" t="s">
        <v>204</v>
      </c>
      <c r="L68" s="57">
        <v>161.5</v>
      </c>
      <c r="M68" s="57">
        <v>11.8</v>
      </c>
      <c r="N68" s="62">
        <f t="shared" si="15"/>
        <v>1.1800000000000002</v>
      </c>
      <c r="O68" s="58">
        <v>247</v>
      </c>
      <c r="P68" s="76">
        <f t="shared" si="10"/>
        <v>1.2350000000000001</v>
      </c>
      <c r="Q68" s="23">
        <v>0</v>
      </c>
      <c r="R68" s="23">
        <v>0</v>
      </c>
      <c r="S68" s="23">
        <v>0</v>
      </c>
      <c r="T68" s="23">
        <v>100</v>
      </c>
      <c r="U68" s="23">
        <v>0</v>
      </c>
      <c r="V68" s="23">
        <v>0</v>
      </c>
      <c r="W68" s="48">
        <f t="shared" si="11"/>
        <v>100</v>
      </c>
      <c r="X68" s="48">
        <f t="shared" si="12"/>
        <v>0</v>
      </c>
      <c r="Y68" s="23"/>
      <c r="Z68" s="23"/>
      <c r="AA68" s="23"/>
      <c r="AB68" s="49"/>
      <c r="AC68" s="49">
        <f t="shared" si="13"/>
        <v>100</v>
      </c>
      <c r="AD68" s="50">
        <f t="shared" si="14"/>
        <v>0</v>
      </c>
      <c r="AE68" s="50" t="s">
        <v>205</v>
      </c>
      <c r="AF68" s="50" t="s">
        <v>205</v>
      </c>
      <c r="AG68" s="41">
        <f t="shared" si="8"/>
        <v>45925</v>
      </c>
      <c r="AH68" s="43">
        <v>25.4</v>
      </c>
      <c r="AI68" s="51">
        <v>3.97</v>
      </c>
      <c r="AJ68" s="51">
        <v>4.3499999999999996</v>
      </c>
      <c r="AK68" s="51">
        <v>0.04</v>
      </c>
      <c r="AL68" s="51">
        <v>2.4</v>
      </c>
      <c r="AM68" s="52" t="s">
        <v>206</v>
      </c>
      <c r="AN68" s="52">
        <v>0</v>
      </c>
      <c r="AO68" s="52">
        <v>507</v>
      </c>
      <c r="AP68" s="52">
        <v>1166</v>
      </c>
    </row>
    <row r="69" spans="1:42" x14ac:dyDescent="0.4">
      <c r="A69" s="23" t="s">
        <v>338</v>
      </c>
      <c r="B69" s="60">
        <v>45924</v>
      </c>
      <c r="C69" s="60">
        <v>45925</v>
      </c>
      <c r="D69" s="21">
        <v>7</v>
      </c>
      <c r="E69" s="21" t="s">
        <v>200</v>
      </c>
      <c r="F69" s="56">
        <v>2.74</v>
      </c>
      <c r="G69" s="21" t="s">
        <v>336</v>
      </c>
      <c r="H69" s="21" t="s">
        <v>213</v>
      </c>
      <c r="I69" s="21" t="s">
        <v>339</v>
      </c>
      <c r="J69" s="23">
        <v>15</v>
      </c>
      <c r="K69" s="23" t="s">
        <v>204</v>
      </c>
      <c r="L69" s="57">
        <v>106</v>
      </c>
      <c r="M69" s="57">
        <v>13</v>
      </c>
      <c r="N69" s="62">
        <f t="shared" si="15"/>
        <v>1.3</v>
      </c>
      <c r="O69" s="58">
        <v>224</v>
      </c>
      <c r="P69" s="76">
        <f t="shared" si="10"/>
        <v>1.1200000000000001</v>
      </c>
      <c r="Q69" s="23">
        <v>0</v>
      </c>
      <c r="R69" s="23">
        <v>0</v>
      </c>
      <c r="S69" s="23">
        <v>0</v>
      </c>
      <c r="T69" s="23">
        <v>96</v>
      </c>
      <c r="U69" s="23">
        <v>0</v>
      </c>
      <c r="V69" s="23">
        <v>4</v>
      </c>
      <c r="W69" s="48">
        <f t="shared" si="11"/>
        <v>96</v>
      </c>
      <c r="X69" s="48">
        <f t="shared" si="12"/>
        <v>4</v>
      </c>
      <c r="Y69" s="23"/>
      <c r="Z69" s="23"/>
      <c r="AA69" s="23"/>
      <c r="AB69" s="49"/>
      <c r="AC69" s="49">
        <f t="shared" si="13"/>
        <v>96</v>
      </c>
      <c r="AD69" s="50">
        <f t="shared" si="14"/>
        <v>0</v>
      </c>
      <c r="AE69" s="50" t="s">
        <v>205</v>
      </c>
      <c r="AF69" s="50" t="s">
        <v>205</v>
      </c>
      <c r="AG69" s="41">
        <f t="shared" si="8"/>
        <v>45925</v>
      </c>
      <c r="AH69" s="43">
        <v>25.6</v>
      </c>
      <c r="AI69" s="51">
        <v>4</v>
      </c>
      <c r="AJ69" s="52">
        <v>4.2</v>
      </c>
      <c r="AK69" s="51">
        <v>4</v>
      </c>
      <c r="AL69" s="52">
        <v>2.72</v>
      </c>
      <c r="AM69" s="52" t="s">
        <v>206</v>
      </c>
      <c r="AN69" s="52">
        <v>0</v>
      </c>
      <c r="AO69" s="52">
        <v>430</v>
      </c>
      <c r="AP69" s="52">
        <v>670</v>
      </c>
    </row>
    <row r="70" spans="1:42" x14ac:dyDescent="0.4">
      <c r="A70" s="23" t="s">
        <v>340</v>
      </c>
      <c r="B70" s="60">
        <v>45924</v>
      </c>
      <c r="C70" s="60">
        <v>45926</v>
      </c>
      <c r="D70" s="21">
        <v>22</v>
      </c>
      <c r="E70" s="21" t="s">
        <v>200</v>
      </c>
      <c r="F70" s="56">
        <v>8.0749999999999993</v>
      </c>
      <c r="G70" s="21" t="s">
        <v>229</v>
      </c>
      <c r="H70" s="21" t="s">
        <v>310</v>
      </c>
      <c r="I70" s="21" t="s">
        <v>341</v>
      </c>
      <c r="J70" s="23">
        <v>14</v>
      </c>
      <c r="K70" s="23" t="s">
        <v>204</v>
      </c>
      <c r="L70" s="57">
        <v>115.5</v>
      </c>
      <c r="M70" s="57">
        <v>13.7</v>
      </c>
      <c r="N70" s="62">
        <f t="shared" si="15"/>
        <v>1.3699999999999999</v>
      </c>
      <c r="O70" s="58">
        <v>223</v>
      </c>
      <c r="P70" s="76">
        <f t="shared" ref="P70:P101" si="16">O70/200</f>
        <v>1.115</v>
      </c>
      <c r="Q70" s="23">
        <v>0</v>
      </c>
      <c r="R70" s="23">
        <v>0</v>
      </c>
      <c r="S70" s="23">
        <v>0</v>
      </c>
      <c r="T70" s="23">
        <v>146</v>
      </c>
      <c r="U70" s="23">
        <v>0</v>
      </c>
      <c r="V70" s="23">
        <v>4</v>
      </c>
      <c r="W70" s="48">
        <f t="shared" ref="W70:W101" si="17">SUM(T70,U70)</f>
        <v>146</v>
      </c>
      <c r="X70" s="48">
        <f t="shared" ref="X70:X101" si="18">SUM(Q70,R70,S70,V70)</f>
        <v>4</v>
      </c>
      <c r="Y70" s="23"/>
      <c r="Z70" s="23"/>
      <c r="AA70" s="23"/>
      <c r="AB70" s="49"/>
      <c r="AC70" s="49">
        <f t="shared" ref="AC70:AC101" si="19">(W70/(W70+X70))*100</f>
        <v>97.333333333333343</v>
      </c>
      <c r="AD70" s="50">
        <f t="shared" ref="AD70:AD101" si="20">((Q70+R70)/(W70+X70))*100</f>
        <v>0</v>
      </c>
      <c r="AE70" s="50" t="s">
        <v>205</v>
      </c>
      <c r="AF70" s="50" t="s">
        <v>205</v>
      </c>
      <c r="AG70" s="41">
        <f t="shared" si="8"/>
        <v>45926</v>
      </c>
      <c r="AH70" s="43">
        <v>23.2</v>
      </c>
      <c r="AI70" s="51">
        <v>3.87</v>
      </c>
      <c r="AJ70" s="51">
        <v>3.75</v>
      </c>
      <c r="AK70" s="51">
        <v>0.01</v>
      </c>
      <c r="AL70" s="51">
        <v>1.39</v>
      </c>
      <c r="AM70" s="52" t="s">
        <v>206</v>
      </c>
      <c r="AN70" s="52">
        <v>0.3</v>
      </c>
      <c r="AO70" s="77">
        <v>459</v>
      </c>
      <c r="AP70" s="77">
        <v>1187</v>
      </c>
    </row>
    <row r="71" spans="1:42" x14ac:dyDescent="0.4">
      <c r="A71" s="23" t="s">
        <v>342</v>
      </c>
      <c r="B71" s="60">
        <v>45925</v>
      </c>
      <c r="C71" s="60">
        <v>45926</v>
      </c>
      <c r="D71" s="21">
        <v>20</v>
      </c>
      <c r="E71" s="21" t="s">
        <v>200</v>
      </c>
      <c r="F71" s="56">
        <v>7.4554999999999998</v>
      </c>
      <c r="G71" s="21" t="s">
        <v>239</v>
      </c>
      <c r="H71" s="21" t="s">
        <v>310</v>
      </c>
      <c r="I71" s="21" t="s">
        <v>343</v>
      </c>
      <c r="J71" s="23">
        <v>19</v>
      </c>
      <c r="K71" s="23" t="s">
        <v>204</v>
      </c>
      <c r="L71" s="57">
        <v>108.37</v>
      </c>
      <c r="M71" s="57">
        <v>13.5</v>
      </c>
      <c r="N71" s="62">
        <f t="shared" si="15"/>
        <v>1.35</v>
      </c>
      <c r="O71" s="58">
        <v>225</v>
      </c>
      <c r="P71" s="76">
        <f t="shared" si="16"/>
        <v>1.125</v>
      </c>
      <c r="Q71" s="21">
        <v>0</v>
      </c>
      <c r="R71" s="21">
        <v>0</v>
      </c>
      <c r="S71" s="21">
        <v>0</v>
      </c>
      <c r="T71" s="21">
        <v>150</v>
      </c>
      <c r="U71" s="21">
        <v>0</v>
      </c>
      <c r="V71" s="21">
        <v>0</v>
      </c>
      <c r="W71" s="63">
        <f t="shared" si="17"/>
        <v>150</v>
      </c>
      <c r="X71" s="63">
        <f t="shared" si="18"/>
        <v>0</v>
      </c>
      <c r="AB71" s="49"/>
      <c r="AC71" s="49">
        <f t="shared" si="19"/>
        <v>100</v>
      </c>
      <c r="AD71" s="50">
        <f t="shared" si="20"/>
        <v>0</v>
      </c>
      <c r="AE71" s="50" t="s">
        <v>205</v>
      </c>
      <c r="AF71" s="50" t="s">
        <v>205</v>
      </c>
      <c r="AG71" s="41">
        <f t="shared" si="8"/>
        <v>45926</v>
      </c>
      <c r="AH71" s="43">
        <v>23.2</v>
      </c>
      <c r="AI71" s="51">
        <v>3.72</v>
      </c>
      <c r="AJ71" s="51">
        <v>4.95</v>
      </c>
      <c r="AK71" s="51">
        <v>0.02</v>
      </c>
      <c r="AL71" s="51">
        <v>1.92</v>
      </c>
      <c r="AM71" s="52" t="s">
        <v>206</v>
      </c>
      <c r="AN71" s="52">
        <v>0.01</v>
      </c>
      <c r="AO71" s="77">
        <v>471</v>
      </c>
      <c r="AP71" s="77">
        <v>890</v>
      </c>
    </row>
    <row r="72" spans="1:42" x14ac:dyDescent="0.4">
      <c r="A72" s="23" t="s">
        <v>344</v>
      </c>
      <c r="B72" s="41">
        <v>45926</v>
      </c>
      <c r="C72" s="41">
        <v>45927</v>
      </c>
      <c r="D72" s="23">
        <v>48</v>
      </c>
      <c r="E72" s="23" t="s">
        <v>200</v>
      </c>
      <c r="F72" s="53">
        <v>20.466000000000001</v>
      </c>
      <c r="G72" s="23" t="s">
        <v>216</v>
      </c>
      <c r="H72" s="23" t="s">
        <v>317</v>
      </c>
      <c r="I72" s="23" t="s">
        <v>318</v>
      </c>
      <c r="J72" s="23">
        <v>17.5</v>
      </c>
      <c r="K72" s="23" t="s">
        <v>204</v>
      </c>
      <c r="L72" s="44">
        <v>152.12</v>
      </c>
      <c r="M72" s="44">
        <v>10.36</v>
      </c>
      <c r="N72" s="45">
        <f t="shared" si="15"/>
        <v>1.036</v>
      </c>
      <c r="O72" s="44">
        <v>146</v>
      </c>
      <c r="P72" s="47">
        <f t="shared" si="16"/>
        <v>0.73</v>
      </c>
      <c r="Q72" s="23">
        <v>0</v>
      </c>
      <c r="R72" s="23">
        <v>0</v>
      </c>
      <c r="S72" s="23">
        <v>0</v>
      </c>
      <c r="T72" s="23">
        <v>250</v>
      </c>
      <c r="U72" s="23">
        <v>0</v>
      </c>
      <c r="V72" s="23">
        <v>0</v>
      </c>
      <c r="W72" s="48">
        <f t="shared" si="17"/>
        <v>250</v>
      </c>
      <c r="X72" s="48">
        <f t="shared" si="18"/>
        <v>0</v>
      </c>
      <c r="Y72" s="23"/>
      <c r="Z72" s="23"/>
      <c r="AA72" s="23"/>
      <c r="AB72" s="78"/>
      <c r="AC72" s="49">
        <f t="shared" si="19"/>
        <v>100</v>
      </c>
      <c r="AD72" s="50">
        <f t="shared" si="20"/>
        <v>0</v>
      </c>
      <c r="AE72" s="50" t="s">
        <v>205</v>
      </c>
      <c r="AF72" s="50" t="s">
        <v>205</v>
      </c>
      <c r="AG72" s="41">
        <f t="shared" si="8"/>
        <v>45927</v>
      </c>
      <c r="AH72" s="43">
        <v>21.7</v>
      </c>
      <c r="AI72" s="51">
        <v>3.38</v>
      </c>
      <c r="AJ72" s="51">
        <v>6.3</v>
      </c>
      <c r="AK72" s="51">
        <v>0.01</v>
      </c>
      <c r="AL72" s="51">
        <v>1.22</v>
      </c>
      <c r="AM72" s="52" t="s">
        <v>206</v>
      </c>
      <c r="AN72" s="52">
        <v>0.01</v>
      </c>
      <c r="AO72" s="77">
        <v>495</v>
      </c>
      <c r="AP72" s="77">
        <v>1161</v>
      </c>
    </row>
    <row r="73" spans="1:42" x14ac:dyDescent="0.4">
      <c r="A73" s="23" t="s">
        <v>345</v>
      </c>
      <c r="B73" s="41">
        <v>45926</v>
      </c>
      <c r="C73" s="41">
        <v>45927</v>
      </c>
      <c r="D73" s="23">
        <v>1</v>
      </c>
      <c r="E73" s="23" t="s">
        <v>200</v>
      </c>
      <c r="F73" s="53">
        <v>0.53900000000000003</v>
      </c>
      <c r="G73" s="23" t="s">
        <v>216</v>
      </c>
      <c r="H73" s="23" t="s">
        <v>209</v>
      </c>
      <c r="I73" s="23" t="s">
        <v>322</v>
      </c>
      <c r="J73" s="23">
        <v>16</v>
      </c>
      <c r="K73" s="23" t="s">
        <v>204</v>
      </c>
      <c r="L73" s="44">
        <v>117.75</v>
      </c>
      <c r="M73" s="44">
        <v>12.7</v>
      </c>
      <c r="N73" s="45">
        <f t="shared" si="15"/>
        <v>1.27</v>
      </c>
      <c r="O73" s="46">
        <v>300</v>
      </c>
      <c r="P73" s="47">
        <f t="shared" si="16"/>
        <v>1.5</v>
      </c>
      <c r="Q73" s="23">
        <v>0</v>
      </c>
      <c r="R73" s="23">
        <v>0</v>
      </c>
      <c r="S73" s="23">
        <v>0</v>
      </c>
      <c r="T73" s="23">
        <v>90</v>
      </c>
      <c r="U73" s="23">
        <v>4</v>
      </c>
      <c r="V73" s="23">
        <v>6</v>
      </c>
      <c r="W73" s="48">
        <f t="shared" si="17"/>
        <v>94</v>
      </c>
      <c r="X73" s="48">
        <f t="shared" si="18"/>
        <v>6</v>
      </c>
      <c r="Y73" s="23"/>
      <c r="Z73" s="23"/>
      <c r="AA73" s="23"/>
      <c r="AB73" s="78"/>
      <c r="AC73" s="49">
        <f t="shared" si="19"/>
        <v>94</v>
      </c>
      <c r="AD73" s="50">
        <f t="shared" si="20"/>
        <v>0</v>
      </c>
      <c r="AE73" s="50" t="s">
        <v>205</v>
      </c>
      <c r="AF73" s="50" t="s">
        <v>205</v>
      </c>
      <c r="AG73" s="41">
        <f t="shared" si="8"/>
        <v>45927</v>
      </c>
      <c r="AH73" s="43">
        <v>21.4</v>
      </c>
      <c r="AI73" s="51">
        <v>3.65</v>
      </c>
      <c r="AJ73" s="51">
        <v>6.6</v>
      </c>
      <c r="AK73" s="51">
        <v>0.39</v>
      </c>
      <c r="AL73" s="51">
        <v>2.96</v>
      </c>
      <c r="AM73" s="52" t="s">
        <v>206</v>
      </c>
      <c r="AN73" s="52" t="s">
        <v>218</v>
      </c>
      <c r="AO73" s="52" t="s">
        <v>204</v>
      </c>
      <c r="AP73" s="52" t="s">
        <v>204</v>
      </c>
    </row>
    <row r="74" spans="1:42" x14ac:dyDescent="0.4">
      <c r="A74" s="23" t="s">
        <v>346</v>
      </c>
      <c r="B74" s="41">
        <v>45926</v>
      </c>
      <c r="C74" s="41">
        <v>45927</v>
      </c>
      <c r="D74" s="23">
        <v>50</v>
      </c>
      <c r="E74" s="23" t="s">
        <v>200</v>
      </c>
      <c r="F74" s="53">
        <v>18.873000000000001</v>
      </c>
      <c r="G74" s="23" t="s">
        <v>239</v>
      </c>
      <c r="H74" s="23" t="s">
        <v>259</v>
      </c>
      <c r="I74" s="23" t="s">
        <v>347</v>
      </c>
      <c r="J74" s="23">
        <v>22</v>
      </c>
      <c r="K74" s="23" t="s">
        <v>204</v>
      </c>
      <c r="L74" s="44">
        <v>227.43</v>
      </c>
      <c r="M74" s="44">
        <v>14.7</v>
      </c>
      <c r="N74" s="45">
        <f t="shared" si="15"/>
        <v>1.47</v>
      </c>
      <c r="O74" s="46">
        <v>280</v>
      </c>
      <c r="P74" s="47">
        <f t="shared" si="16"/>
        <v>1.4</v>
      </c>
      <c r="Q74" s="23">
        <v>0</v>
      </c>
      <c r="R74" s="23">
        <v>0</v>
      </c>
      <c r="S74" s="23">
        <v>7</v>
      </c>
      <c r="T74" s="23">
        <v>231</v>
      </c>
      <c r="U74" s="23">
        <v>7</v>
      </c>
      <c r="V74" s="23">
        <v>5</v>
      </c>
      <c r="W74" s="48">
        <f t="shared" si="17"/>
        <v>238</v>
      </c>
      <c r="X74" s="48">
        <f t="shared" si="18"/>
        <v>12</v>
      </c>
      <c r="Y74" s="23"/>
      <c r="Z74" s="23"/>
      <c r="AA74" s="23"/>
      <c r="AB74" s="78"/>
      <c r="AC74" s="49">
        <f t="shared" si="19"/>
        <v>95.199999999999989</v>
      </c>
      <c r="AD74" s="50">
        <f t="shared" si="20"/>
        <v>0</v>
      </c>
      <c r="AE74" s="50" t="s">
        <v>205</v>
      </c>
      <c r="AF74" s="50" t="s">
        <v>205</v>
      </c>
      <c r="AG74" s="41">
        <f t="shared" si="8"/>
        <v>45927</v>
      </c>
      <c r="AH74" s="43">
        <v>23.5</v>
      </c>
      <c r="AI74" s="51">
        <v>3.97</v>
      </c>
      <c r="AJ74" s="51">
        <v>3.9</v>
      </c>
      <c r="AK74" s="51">
        <v>0.02</v>
      </c>
      <c r="AL74" s="51">
        <v>1.99</v>
      </c>
      <c r="AM74" s="52" t="s">
        <v>206</v>
      </c>
      <c r="AN74" s="52">
        <v>0.01</v>
      </c>
      <c r="AO74" s="77">
        <v>802</v>
      </c>
      <c r="AP74" s="77">
        <v>933</v>
      </c>
    </row>
    <row r="75" spans="1:42" x14ac:dyDescent="0.4">
      <c r="A75" s="23" t="s">
        <v>348</v>
      </c>
      <c r="B75" s="41">
        <v>45927</v>
      </c>
      <c r="C75" s="41">
        <v>45928</v>
      </c>
      <c r="D75" s="23">
        <v>23</v>
      </c>
      <c r="E75" s="23" t="s">
        <v>200</v>
      </c>
      <c r="F75" s="42">
        <v>10.536</v>
      </c>
      <c r="G75" s="23" t="s">
        <v>216</v>
      </c>
      <c r="H75" s="23" t="s">
        <v>259</v>
      </c>
      <c r="I75" s="23" t="s">
        <v>260</v>
      </c>
      <c r="J75" s="23">
        <v>23</v>
      </c>
      <c r="K75" s="23" t="s">
        <v>204</v>
      </c>
      <c r="L75" s="44">
        <v>232.75</v>
      </c>
      <c r="M75" s="44">
        <v>12.8</v>
      </c>
      <c r="N75" s="45">
        <f t="shared" ref="N75:N106" si="21">M75/10</f>
        <v>1.28</v>
      </c>
      <c r="O75" s="46">
        <v>254</v>
      </c>
      <c r="P75" s="47">
        <f t="shared" si="16"/>
        <v>1.27</v>
      </c>
      <c r="Q75" s="23">
        <v>0</v>
      </c>
      <c r="R75" s="23">
        <v>0</v>
      </c>
      <c r="S75" s="23">
        <v>0</v>
      </c>
      <c r="T75" s="23">
        <v>100</v>
      </c>
      <c r="U75" s="23">
        <v>0</v>
      </c>
      <c r="V75" s="23">
        <v>0</v>
      </c>
      <c r="W75" s="48">
        <f t="shared" si="17"/>
        <v>100</v>
      </c>
      <c r="X75" s="48">
        <f t="shared" si="18"/>
        <v>0</v>
      </c>
      <c r="Y75" s="23"/>
      <c r="Z75" s="23"/>
      <c r="AA75" s="23"/>
      <c r="AB75" s="78"/>
      <c r="AC75" s="49">
        <f t="shared" si="19"/>
        <v>100</v>
      </c>
      <c r="AD75" s="50">
        <f t="shared" si="20"/>
        <v>0</v>
      </c>
      <c r="AE75" s="50" t="s">
        <v>205</v>
      </c>
      <c r="AF75" s="50" t="s">
        <v>205</v>
      </c>
      <c r="AG75" s="41">
        <f t="shared" si="8"/>
        <v>45928</v>
      </c>
      <c r="AH75" s="43">
        <v>23.5</v>
      </c>
      <c r="AI75" s="51">
        <v>3.97</v>
      </c>
      <c r="AJ75" s="51">
        <v>4.05</v>
      </c>
      <c r="AK75" s="51">
        <v>0.43</v>
      </c>
      <c r="AL75" s="51">
        <v>2.06</v>
      </c>
      <c r="AM75" s="52" t="s">
        <v>206</v>
      </c>
      <c r="AN75" s="52">
        <v>0.56999999999999995</v>
      </c>
      <c r="AO75" s="52">
        <v>1111</v>
      </c>
      <c r="AP75" s="52">
        <v>1136</v>
      </c>
    </row>
    <row r="76" spans="1:42" x14ac:dyDescent="0.4">
      <c r="A76" s="23" t="s">
        <v>349</v>
      </c>
      <c r="B76" s="41">
        <v>45927</v>
      </c>
      <c r="C76" s="41">
        <v>45929</v>
      </c>
      <c r="D76" s="23">
        <v>7</v>
      </c>
      <c r="E76" s="23" t="s">
        <v>200</v>
      </c>
      <c r="F76" s="42">
        <v>2.9079999999999999</v>
      </c>
      <c r="G76" s="23" t="s">
        <v>216</v>
      </c>
      <c r="H76" s="23" t="s">
        <v>310</v>
      </c>
      <c r="I76" s="23" t="s">
        <v>315</v>
      </c>
      <c r="J76" s="23">
        <v>13</v>
      </c>
      <c r="K76" s="23" t="s">
        <v>204</v>
      </c>
      <c r="L76" s="44">
        <v>162</v>
      </c>
      <c r="M76" s="44">
        <v>12.06</v>
      </c>
      <c r="N76" s="45">
        <f t="shared" si="21"/>
        <v>1.206</v>
      </c>
      <c r="O76" s="46">
        <v>193</v>
      </c>
      <c r="P76" s="47">
        <f t="shared" si="16"/>
        <v>0.96499999999999997</v>
      </c>
      <c r="Q76" s="23">
        <v>0</v>
      </c>
      <c r="R76" s="23">
        <v>0</v>
      </c>
      <c r="S76" s="23">
        <v>0</v>
      </c>
      <c r="T76" s="23">
        <v>100</v>
      </c>
      <c r="U76" s="23">
        <v>0</v>
      </c>
      <c r="V76" s="23">
        <v>0</v>
      </c>
      <c r="W76" s="48">
        <f t="shared" si="17"/>
        <v>100</v>
      </c>
      <c r="X76" s="48">
        <f t="shared" si="18"/>
        <v>0</v>
      </c>
      <c r="Y76" s="23"/>
      <c r="Z76" s="23"/>
      <c r="AA76" s="23"/>
      <c r="AB76" s="78"/>
      <c r="AC76" s="49">
        <f t="shared" si="19"/>
        <v>100</v>
      </c>
      <c r="AD76" s="50">
        <f t="shared" si="20"/>
        <v>0</v>
      </c>
      <c r="AE76" s="50" t="s">
        <v>205</v>
      </c>
      <c r="AF76" s="50" t="s">
        <v>205</v>
      </c>
      <c r="AG76" s="41">
        <v>45929</v>
      </c>
      <c r="AH76" s="43">
        <v>22.8</v>
      </c>
      <c r="AI76" s="51">
        <v>3.8</v>
      </c>
      <c r="AJ76" s="51">
        <v>3.6</v>
      </c>
      <c r="AK76" s="51">
        <v>0.01</v>
      </c>
      <c r="AL76" s="51">
        <v>1.1299999999999999</v>
      </c>
      <c r="AM76" s="52" t="s">
        <v>206</v>
      </c>
      <c r="AN76" s="52">
        <v>0</v>
      </c>
      <c r="AO76" s="52">
        <v>1164</v>
      </c>
      <c r="AP76" s="52">
        <v>1132</v>
      </c>
    </row>
    <row r="77" spans="1:42" x14ac:dyDescent="0.4">
      <c r="A77" s="21" t="s">
        <v>350</v>
      </c>
      <c r="B77" s="41">
        <v>45929</v>
      </c>
      <c r="C77" s="41">
        <v>45930</v>
      </c>
      <c r="D77" s="23">
        <v>60</v>
      </c>
      <c r="E77" s="23" t="s">
        <v>200</v>
      </c>
      <c r="F77" s="42">
        <v>22.624500000000001</v>
      </c>
      <c r="G77" s="23" t="s">
        <v>239</v>
      </c>
      <c r="H77" s="23" t="s">
        <v>213</v>
      </c>
      <c r="I77" s="23" t="s">
        <v>351</v>
      </c>
      <c r="J77" s="23">
        <v>17</v>
      </c>
      <c r="K77" s="23" t="s">
        <v>204</v>
      </c>
      <c r="L77" s="44">
        <v>149.80000000000001</v>
      </c>
      <c r="M77" s="44">
        <v>12.25</v>
      </c>
      <c r="N77" s="45">
        <f t="shared" si="21"/>
        <v>1.2250000000000001</v>
      </c>
      <c r="O77" s="46">
        <v>245</v>
      </c>
      <c r="P77" s="47">
        <f t="shared" si="16"/>
        <v>1.2250000000000001</v>
      </c>
      <c r="Q77" s="23">
        <v>0</v>
      </c>
      <c r="R77" s="23">
        <v>0</v>
      </c>
      <c r="S77" s="23">
        <v>0</v>
      </c>
      <c r="T77" s="23">
        <v>299</v>
      </c>
      <c r="U77" s="23">
        <v>0</v>
      </c>
      <c r="V77" s="23">
        <v>1</v>
      </c>
      <c r="W77" s="48">
        <f t="shared" si="17"/>
        <v>299</v>
      </c>
      <c r="X77" s="48">
        <f t="shared" si="18"/>
        <v>1</v>
      </c>
      <c r="Y77" s="23"/>
      <c r="Z77" s="23"/>
      <c r="AA77" s="23"/>
      <c r="AB77" s="78"/>
      <c r="AC77" s="49">
        <f t="shared" si="19"/>
        <v>99.666666666666671</v>
      </c>
      <c r="AD77" s="50">
        <f t="shared" si="20"/>
        <v>0</v>
      </c>
      <c r="AE77" s="50" t="s">
        <v>205</v>
      </c>
      <c r="AF77" s="50" t="s">
        <v>205</v>
      </c>
      <c r="AG77" s="41">
        <v>45930</v>
      </c>
      <c r="AH77" s="43">
        <v>24</v>
      </c>
      <c r="AI77" s="51">
        <v>3.83</v>
      </c>
      <c r="AJ77" s="51">
        <v>4.8</v>
      </c>
      <c r="AK77" s="51">
        <v>0.16</v>
      </c>
      <c r="AL77" s="51">
        <v>2.88</v>
      </c>
      <c r="AM77" s="52" t="s">
        <v>206</v>
      </c>
      <c r="AN77" s="52">
        <v>0.02</v>
      </c>
      <c r="AO77" s="52">
        <v>1232</v>
      </c>
      <c r="AP77" s="52">
        <v>1248</v>
      </c>
    </row>
    <row r="78" spans="1:42" x14ac:dyDescent="0.4">
      <c r="A78" s="21" t="s">
        <v>352</v>
      </c>
      <c r="B78" s="41">
        <v>45930</v>
      </c>
      <c r="C78" s="41">
        <v>45931</v>
      </c>
      <c r="D78" s="23">
        <v>15</v>
      </c>
      <c r="E78" s="23" t="s">
        <v>200</v>
      </c>
      <c r="F78" s="42">
        <v>5.2590000000000003</v>
      </c>
      <c r="G78" s="23" t="s">
        <v>250</v>
      </c>
      <c r="H78" s="23" t="s">
        <v>251</v>
      </c>
      <c r="I78" s="23" t="s">
        <v>353</v>
      </c>
      <c r="J78" s="23">
        <v>14</v>
      </c>
      <c r="K78" s="23" t="s">
        <v>204</v>
      </c>
      <c r="L78" s="44">
        <v>169.25</v>
      </c>
      <c r="M78" s="44">
        <v>13.8</v>
      </c>
      <c r="N78" s="45">
        <f t="shared" si="21"/>
        <v>1.3800000000000001</v>
      </c>
      <c r="O78" s="46">
        <v>243</v>
      </c>
      <c r="P78" s="47">
        <f t="shared" si="16"/>
        <v>1.2150000000000001</v>
      </c>
      <c r="Q78" s="23">
        <v>0</v>
      </c>
      <c r="R78" s="23">
        <v>0</v>
      </c>
      <c r="S78" s="23">
        <v>6</v>
      </c>
      <c r="T78" s="23">
        <v>140</v>
      </c>
      <c r="U78" s="23">
        <v>0</v>
      </c>
      <c r="V78" s="23">
        <v>4</v>
      </c>
      <c r="W78" s="48">
        <f t="shared" si="17"/>
        <v>140</v>
      </c>
      <c r="X78" s="48">
        <f t="shared" si="18"/>
        <v>10</v>
      </c>
      <c r="Y78" s="23"/>
      <c r="Z78" s="23"/>
      <c r="AA78" s="23"/>
      <c r="AB78" s="78"/>
      <c r="AC78" s="49">
        <f t="shared" si="19"/>
        <v>93.333333333333329</v>
      </c>
      <c r="AD78" s="50">
        <f t="shared" si="20"/>
        <v>0</v>
      </c>
      <c r="AE78" s="50" t="s">
        <v>205</v>
      </c>
      <c r="AF78" s="50" t="s">
        <v>205</v>
      </c>
      <c r="AG78" s="41">
        <v>45931</v>
      </c>
      <c r="AH78" s="43">
        <v>21.9</v>
      </c>
      <c r="AI78" s="51">
        <v>3.49</v>
      </c>
      <c r="AJ78" s="51">
        <v>5.25</v>
      </c>
      <c r="AK78" s="51">
        <v>0.02</v>
      </c>
      <c r="AL78" s="51">
        <v>1.65</v>
      </c>
      <c r="AM78" s="52" t="s">
        <v>206</v>
      </c>
      <c r="AN78" s="52">
        <v>0.06</v>
      </c>
      <c r="AO78" s="52">
        <v>1196</v>
      </c>
      <c r="AP78" s="52">
        <v>567</v>
      </c>
    </row>
    <row r="79" spans="1:42" x14ac:dyDescent="0.4">
      <c r="A79" s="21" t="s">
        <v>354</v>
      </c>
      <c r="B79" s="41">
        <v>45930</v>
      </c>
      <c r="C79" s="41">
        <v>45931</v>
      </c>
      <c r="D79" s="23">
        <v>6</v>
      </c>
      <c r="E79" s="23" t="s">
        <v>200</v>
      </c>
      <c r="F79" s="42">
        <v>2.1194999999999999</v>
      </c>
      <c r="G79" s="23" t="s">
        <v>250</v>
      </c>
      <c r="H79" s="23" t="s">
        <v>251</v>
      </c>
      <c r="I79" s="23" t="s">
        <v>355</v>
      </c>
      <c r="J79" s="23">
        <v>22</v>
      </c>
      <c r="K79" s="23" t="s">
        <v>204</v>
      </c>
      <c r="L79" s="44">
        <v>147.75</v>
      </c>
      <c r="M79" s="44">
        <v>13.6</v>
      </c>
      <c r="N79" s="45">
        <f t="shared" si="21"/>
        <v>1.3599999999999999</v>
      </c>
      <c r="O79" s="46">
        <v>240</v>
      </c>
      <c r="P79" s="47">
        <f t="shared" si="16"/>
        <v>1.2</v>
      </c>
      <c r="Q79" s="23">
        <v>0</v>
      </c>
      <c r="R79" s="23">
        <v>0</v>
      </c>
      <c r="S79" s="23">
        <v>0</v>
      </c>
      <c r="T79" s="23">
        <v>95</v>
      </c>
      <c r="U79" s="23">
        <v>0</v>
      </c>
      <c r="V79" s="23">
        <v>5</v>
      </c>
      <c r="W79" s="48">
        <f t="shared" si="17"/>
        <v>95</v>
      </c>
      <c r="X79" s="48">
        <f t="shared" si="18"/>
        <v>5</v>
      </c>
      <c r="Y79" s="23"/>
      <c r="Z79" s="23"/>
      <c r="AA79" s="23"/>
      <c r="AB79" s="78"/>
      <c r="AC79" s="49">
        <f t="shared" si="19"/>
        <v>95</v>
      </c>
      <c r="AD79" s="50">
        <f t="shared" si="20"/>
        <v>0</v>
      </c>
      <c r="AE79" s="50" t="s">
        <v>205</v>
      </c>
      <c r="AF79" s="50" t="s">
        <v>205</v>
      </c>
      <c r="AG79" s="41">
        <v>45931</v>
      </c>
      <c r="AH79" s="43">
        <v>22.2</v>
      </c>
      <c r="AI79" s="51">
        <v>3.49</v>
      </c>
      <c r="AJ79" s="51">
        <v>5.55</v>
      </c>
      <c r="AK79" s="51">
        <v>0.02</v>
      </c>
      <c r="AL79" s="51">
        <v>1.78</v>
      </c>
      <c r="AM79" s="52" t="s">
        <v>206</v>
      </c>
      <c r="AN79" s="52">
        <v>0.06</v>
      </c>
      <c r="AO79" s="52">
        <v>1231</v>
      </c>
      <c r="AP79" s="52">
        <v>790</v>
      </c>
    </row>
    <row r="80" spans="1:42" x14ac:dyDescent="0.4">
      <c r="A80" s="21" t="s">
        <v>356</v>
      </c>
      <c r="B80" s="41">
        <v>45931</v>
      </c>
      <c r="C80" s="41">
        <v>45932</v>
      </c>
      <c r="D80" s="23">
        <v>6</v>
      </c>
      <c r="E80" s="23" t="s">
        <v>200</v>
      </c>
      <c r="F80" s="42">
        <v>2.1455000000000002</v>
      </c>
      <c r="G80" s="23" t="s">
        <v>250</v>
      </c>
      <c r="H80" s="23" t="s">
        <v>251</v>
      </c>
      <c r="I80" s="23" t="s">
        <v>355</v>
      </c>
      <c r="J80" s="23">
        <v>14</v>
      </c>
      <c r="K80" s="23" t="s">
        <v>204</v>
      </c>
      <c r="L80" s="44">
        <v>178.75</v>
      </c>
      <c r="M80" s="44">
        <v>12.5</v>
      </c>
      <c r="N80" s="45">
        <f t="shared" si="21"/>
        <v>1.25</v>
      </c>
      <c r="O80" s="46">
        <v>244</v>
      </c>
      <c r="P80" s="47">
        <f t="shared" si="16"/>
        <v>1.22</v>
      </c>
      <c r="Q80" s="23">
        <v>0</v>
      </c>
      <c r="R80" s="23">
        <v>0</v>
      </c>
      <c r="S80" s="23">
        <v>1</v>
      </c>
      <c r="T80" s="23">
        <v>98</v>
      </c>
      <c r="U80" s="23">
        <v>0</v>
      </c>
      <c r="V80" s="23">
        <v>1</v>
      </c>
      <c r="W80" s="48">
        <f t="shared" si="17"/>
        <v>98</v>
      </c>
      <c r="X80" s="48">
        <f t="shared" si="18"/>
        <v>2</v>
      </c>
      <c r="Y80" s="23"/>
      <c r="Z80" s="23"/>
      <c r="AA80" s="23"/>
      <c r="AB80" s="78"/>
      <c r="AC80" s="49">
        <f t="shared" si="19"/>
        <v>98</v>
      </c>
      <c r="AD80" s="50">
        <f t="shared" si="20"/>
        <v>0</v>
      </c>
      <c r="AE80" s="50" t="s">
        <v>205</v>
      </c>
      <c r="AF80" s="50" t="s">
        <v>205</v>
      </c>
      <c r="AG80" s="41">
        <v>45931</v>
      </c>
      <c r="AH80" s="43">
        <v>21.2</v>
      </c>
      <c r="AI80" s="51">
        <v>3.41</v>
      </c>
      <c r="AJ80" s="51">
        <v>5.85</v>
      </c>
      <c r="AK80" s="51">
        <v>0.02</v>
      </c>
      <c r="AL80" s="51">
        <v>2.0099999999999998</v>
      </c>
      <c r="AM80" s="52" t="s">
        <v>206</v>
      </c>
      <c r="AN80" s="52">
        <v>0.06</v>
      </c>
      <c r="AO80" s="52">
        <v>1231</v>
      </c>
      <c r="AP80" s="52">
        <v>801</v>
      </c>
    </row>
    <row r="81" spans="1:42" x14ac:dyDescent="0.4">
      <c r="A81" s="21" t="s">
        <v>357</v>
      </c>
      <c r="B81" s="41">
        <v>45932</v>
      </c>
      <c r="C81" s="41">
        <v>45932</v>
      </c>
      <c r="D81" s="23">
        <v>24</v>
      </c>
      <c r="E81" s="23" t="s">
        <v>200</v>
      </c>
      <c r="F81" s="42">
        <v>8.5</v>
      </c>
      <c r="G81" s="23" t="s">
        <v>250</v>
      </c>
      <c r="H81" s="23" t="s">
        <v>251</v>
      </c>
      <c r="I81" s="23" t="s">
        <v>355</v>
      </c>
      <c r="J81" s="23">
        <v>14</v>
      </c>
      <c r="K81" s="23" t="s">
        <v>204</v>
      </c>
      <c r="L81" s="44">
        <v>117.375</v>
      </c>
      <c r="M81" s="44">
        <v>11.37</v>
      </c>
      <c r="N81" s="45">
        <f t="shared" si="21"/>
        <v>1.137</v>
      </c>
      <c r="O81" s="46">
        <v>211</v>
      </c>
      <c r="P81" s="47">
        <f t="shared" si="16"/>
        <v>1.0549999999999999</v>
      </c>
      <c r="Q81" s="23">
        <v>0</v>
      </c>
      <c r="R81" s="23">
        <v>0</v>
      </c>
      <c r="S81" s="23">
        <v>0</v>
      </c>
      <c r="T81" s="23">
        <v>97</v>
      </c>
      <c r="U81" s="23">
        <v>1</v>
      </c>
      <c r="V81" s="23">
        <v>2</v>
      </c>
      <c r="W81" s="48">
        <f t="shared" si="17"/>
        <v>98</v>
      </c>
      <c r="X81" s="48">
        <f t="shared" si="18"/>
        <v>2</v>
      </c>
      <c r="Y81" s="23"/>
      <c r="Z81" s="23"/>
      <c r="AA81" s="23"/>
      <c r="AB81" s="78"/>
      <c r="AC81" s="49">
        <f t="shared" si="19"/>
        <v>98</v>
      </c>
      <c r="AD81" s="50">
        <f t="shared" si="20"/>
        <v>0</v>
      </c>
      <c r="AE81" s="50" t="s">
        <v>205</v>
      </c>
      <c r="AF81" s="50" t="s">
        <v>205</v>
      </c>
      <c r="AG81" s="41">
        <v>45931</v>
      </c>
      <c r="AH81" s="43">
        <v>23.6</v>
      </c>
      <c r="AI81" s="51">
        <v>3.53</v>
      </c>
      <c r="AJ81" s="51">
        <v>5.55</v>
      </c>
      <c r="AK81" s="51">
        <v>0.02</v>
      </c>
      <c r="AL81" s="51">
        <v>1.61</v>
      </c>
      <c r="AM81" s="52" t="s">
        <v>206</v>
      </c>
      <c r="AN81" s="52">
        <v>0.06</v>
      </c>
      <c r="AO81" s="52">
        <v>1231</v>
      </c>
      <c r="AP81" s="52">
        <v>765</v>
      </c>
    </row>
    <row r="82" spans="1:42" x14ac:dyDescent="0.4">
      <c r="A82" s="21" t="s">
        <v>358</v>
      </c>
      <c r="B82" s="41">
        <v>45932</v>
      </c>
      <c r="C82" s="41">
        <v>45933</v>
      </c>
      <c r="D82" s="23">
        <v>24</v>
      </c>
      <c r="E82" s="23" t="s">
        <v>200</v>
      </c>
      <c r="F82" s="42">
        <v>8.2056000000000004</v>
      </c>
      <c r="G82" s="23" t="s">
        <v>250</v>
      </c>
      <c r="H82" s="23" t="s">
        <v>251</v>
      </c>
      <c r="I82" s="23" t="s">
        <v>359</v>
      </c>
      <c r="J82" s="23">
        <v>26</v>
      </c>
      <c r="K82" s="23" t="s">
        <v>204</v>
      </c>
      <c r="L82" s="44">
        <v>161.25</v>
      </c>
      <c r="M82" s="44">
        <v>12.2</v>
      </c>
      <c r="N82" s="45">
        <f t="shared" si="21"/>
        <v>1.22</v>
      </c>
      <c r="O82" s="46">
        <v>235</v>
      </c>
      <c r="P82" s="47">
        <f t="shared" si="16"/>
        <v>1.175</v>
      </c>
      <c r="Q82" s="23">
        <v>0</v>
      </c>
      <c r="R82" s="23">
        <v>0</v>
      </c>
      <c r="S82" s="23">
        <v>3</v>
      </c>
      <c r="T82" s="23">
        <v>147</v>
      </c>
      <c r="U82" s="23">
        <v>0</v>
      </c>
      <c r="V82" s="23">
        <v>0</v>
      </c>
      <c r="W82" s="48">
        <f t="shared" si="17"/>
        <v>147</v>
      </c>
      <c r="X82" s="48">
        <f t="shared" si="18"/>
        <v>3</v>
      </c>
      <c r="Y82" s="23"/>
      <c r="Z82" s="23"/>
      <c r="AA82" s="23"/>
      <c r="AB82" s="78"/>
      <c r="AC82" s="49">
        <f t="shared" si="19"/>
        <v>98</v>
      </c>
      <c r="AD82" s="50">
        <f t="shared" si="20"/>
        <v>0</v>
      </c>
      <c r="AE82" s="50" t="s">
        <v>205</v>
      </c>
      <c r="AF82" s="50" t="s">
        <v>205</v>
      </c>
      <c r="AG82" s="41">
        <v>45932</v>
      </c>
      <c r="AH82" s="43">
        <v>22.4</v>
      </c>
      <c r="AI82" s="51">
        <v>3.42</v>
      </c>
      <c r="AJ82" s="51">
        <v>5.4</v>
      </c>
      <c r="AK82" s="51">
        <v>0.03</v>
      </c>
      <c r="AL82" s="51">
        <v>2.0299999999999998</v>
      </c>
      <c r="AM82" s="52" t="s">
        <v>206</v>
      </c>
      <c r="AN82" s="52">
        <v>0</v>
      </c>
      <c r="AO82" s="52">
        <v>1445</v>
      </c>
      <c r="AP82" s="52">
        <v>848</v>
      </c>
    </row>
    <row r="83" spans="1:42" x14ac:dyDescent="0.4">
      <c r="A83" s="21" t="s">
        <v>360</v>
      </c>
      <c r="B83" s="41">
        <v>45932</v>
      </c>
      <c r="C83" s="41">
        <v>45933</v>
      </c>
      <c r="D83" s="23">
        <v>15</v>
      </c>
      <c r="E83" s="23" t="s">
        <v>200</v>
      </c>
      <c r="F83" s="42">
        <v>4.9320000000000004</v>
      </c>
      <c r="G83" s="23" t="s">
        <v>250</v>
      </c>
      <c r="H83" s="23" t="s">
        <v>251</v>
      </c>
      <c r="I83" s="23" t="s">
        <v>361</v>
      </c>
      <c r="J83" s="23">
        <v>27</v>
      </c>
      <c r="K83" s="23" t="s">
        <v>204</v>
      </c>
      <c r="L83" s="44">
        <v>167.875</v>
      </c>
      <c r="M83" s="44">
        <v>12.05</v>
      </c>
      <c r="N83" s="45">
        <f t="shared" si="21"/>
        <v>1.2050000000000001</v>
      </c>
      <c r="O83" s="46">
        <v>262</v>
      </c>
      <c r="P83" s="47">
        <f t="shared" si="16"/>
        <v>1.31</v>
      </c>
      <c r="Q83" s="23">
        <v>0</v>
      </c>
      <c r="R83" s="23">
        <v>0</v>
      </c>
      <c r="S83" s="23">
        <v>4</v>
      </c>
      <c r="T83" s="23">
        <v>93</v>
      </c>
      <c r="U83" s="23">
        <v>0</v>
      </c>
      <c r="V83" s="23">
        <v>3</v>
      </c>
      <c r="W83" s="48">
        <f t="shared" si="17"/>
        <v>93</v>
      </c>
      <c r="X83" s="48">
        <f t="shared" si="18"/>
        <v>7</v>
      </c>
      <c r="Y83" s="23"/>
      <c r="Z83" s="23"/>
      <c r="AA83" s="23"/>
      <c r="AB83" s="78"/>
      <c r="AC83" s="49">
        <f t="shared" si="19"/>
        <v>93</v>
      </c>
      <c r="AD83" s="50">
        <f t="shared" si="20"/>
        <v>0</v>
      </c>
      <c r="AE83" s="50" t="s">
        <v>205</v>
      </c>
      <c r="AF83" s="50" t="s">
        <v>205</v>
      </c>
      <c r="AG83" s="41">
        <v>45932</v>
      </c>
      <c r="AH83" s="43">
        <v>18.7</v>
      </c>
      <c r="AI83" s="51">
        <v>3.43</v>
      </c>
      <c r="AJ83" s="51">
        <v>7.5</v>
      </c>
      <c r="AK83" s="51">
        <v>0.03</v>
      </c>
      <c r="AL83" s="51">
        <v>3.42</v>
      </c>
      <c r="AM83" s="52" t="s">
        <v>206</v>
      </c>
      <c r="AN83" s="52">
        <v>0</v>
      </c>
      <c r="AO83" s="52">
        <v>967</v>
      </c>
      <c r="AP83" s="52">
        <v>649</v>
      </c>
    </row>
    <row r="84" spans="1:42" x14ac:dyDescent="0.4">
      <c r="A84" s="21" t="s">
        <v>362</v>
      </c>
      <c r="B84" s="41">
        <v>45936</v>
      </c>
      <c r="C84" s="41">
        <v>45937</v>
      </c>
      <c r="D84" s="23">
        <v>46</v>
      </c>
      <c r="E84" s="23" t="s">
        <v>200</v>
      </c>
      <c r="F84" s="53">
        <v>22.158200000000001</v>
      </c>
      <c r="G84" s="23" t="s">
        <v>216</v>
      </c>
      <c r="H84" s="23" t="s">
        <v>363</v>
      </c>
      <c r="I84" s="23" t="s">
        <v>364</v>
      </c>
      <c r="J84" s="23">
        <v>26</v>
      </c>
      <c r="K84" s="23" t="s">
        <v>204</v>
      </c>
      <c r="L84" s="44">
        <v>157.37</v>
      </c>
      <c r="M84" s="44">
        <v>14.4</v>
      </c>
      <c r="N84" s="45">
        <f t="shared" si="21"/>
        <v>1.44</v>
      </c>
      <c r="O84" s="46">
        <v>296</v>
      </c>
      <c r="P84" s="47">
        <f t="shared" si="16"/>
        <v>1.48</v>
      </c>
      <c r="Q84" s="23">
        <v>0</v>
      </c>
      <c r="R84" s="23">
        <v>0</v>
      </c>
      <c r="S84" s="23">
        <v>0</v>
      </c>
      <c r="T84" s="23">
        <v>234</v>
      </c>
      <c r="U84" s="23">
        <v>10</v>
      </c>
      <c r="V84" s="23">
        <v>6</v>
      </c>
      <c r="W84" s="48">
        <f t="shared" si="17"/>
        <v>244</v>
      </c>
      <c r="X84" s="48">
        <f t="shared" si="18"/>
        <v>6</v>
      </c>
      <c r="Y84" s="23"/>
      <c r="Z84" s="23"/>
      <c r="AA84" s="23"/>
      <c r="AB84" s="78"/>
      <c r="AC84" s="49">
        <f t="shared" si="19"/>
        <v>97.6</v>
      </c>
      <c r="AD84" s="50">
        <f t="shared" si="20"/>
        <v>0</v>
      </c>
      <c r="AE84" s="50" t="s">
        <v>205</v>
      </c>
      <c r="AF84" s="50" t="s">
        <v>205</v>
      </c>
      <c r="AG84" s="41">
        <v>45937</v>
      </c>
      <c r="AH84" s="43">
        <v>22.2</v>
      </c>
      <c r="AI84" s="51">
        <v>3.8</v>
      </c>
      <c r="AJ84" s="51">
        <v>5.7</v>
      </c>
      <c r="AK84" s="23">
        <v>7.0000000000000007E-2</v>
      </c>
      <c r="AL84" s="23">
        <v>2.89</v>
      </c>
      <c r="AM84" s="51">
        <v>0</v>
      </c>
      <c r="AN84" s="51">
        <v>0.04</v>
      </c>
      <c r="AO84" s="51">
        <v>1262</v>
      </c>
      <c r="AP84" s="51">
        <v>1244</v>
      </c>
    </row>
    <row r="85" spans="1:42" x14ac:dyDescent="0.4">
      <c r="A85" s="21" t="s">
        <v>365</v>
      </c>
      <c r="B85" s="41">
        <v>45937</v>
      </c>
      <c r="C85" s="41">
        <v>45938</v>
      </c>
      <c r="D85" s="23">
        <v>39</v>
      </c>
      <c r="E85" s="23" t="s">
        <v>200</v>
      </c>
      <c r="F85" s="53">
        <v>16.851500000000001</v>
      </c>
      <c r="G85" s="23" t="s">
        <v>216</v>
      </c>
      <c r="H85" s="23" t="s">
        <v>366</v>
      </c>
      <c r="I85" s="23" t="s">
        <v>367</v>
      </c>
      <c r="J85" s="23">
        <v>16</v>
      </c>
      <c r="K85" s="23" t="s">
        <v>204</v>
      </c>
      <c r="L85" s="44">
        <v>90.75</v>
      </c>
      <c r="M85" s="44">
        <v>11.28</v>
      </c>
      <c r="N85" s="45">
        <f t="shared" si="21"/>
        <v>1.1279999999999999</v>
      </c>
      <c r="O85" s="46">
        <v>266</v>
      </c>
      <c r="P85" s="47">
        <f t="shared" si="16"/>
        <v>1.33</v>
      </c>
      <c r="Q85" s="23">
        <v>0</v>
      </c>
      <c r="R85" s="23">
        <v>0</v>
      </c>
      <c r="S85" s="23">
        <v>0</v>
      </c>
      <c r="T85" s="23">
        <v>183</v>
      </c>
      <c r="U85" s="23">
        <v>0</v>
      </c>
      <c r="V85" s="23">
        <v>17</v>
      </c>
      <c r="W85" s="48">
        <f t="shared" si="17"/>
        <v>183</v>
      </c>
      <c r="X85" s="48">
        <f t="shared" si="18"/>
        <v>17</v>
      </c>
      <c r="Y85" s="23"/>
      <c r="Z85" s="23"/>
      <c r="AA85" s="23"/>
      <c r="AB85" s="78"/>
      <c r="AC85" s="49">
        <f t="shared" si="19"/>
        <v>91.5</v>
      </c>
      <c r="AD85" s="50">
        <f t="shared" si="20"/>
        <v>0</v>
      </c>
      <c r="AE85" s="50" t="s">
        <v>205</v>
      </c>
      <c r="AF85" s="50" t="s">
        <v>205</v>
      </c>
      <c r="AG85" s="41">
        <v>45938</v>
      </c>
      <c r="AH85" s="43">
        <v>22.5</v>
      </c>
      <c r="AI85" s="23">
        <v>3.52</v>
      </c>
      <c r="AJ85" s="23">
        <v>6.45</v>
      </c>
      <c r="AK85" s="51">
        <v>0.17</v>
      </c>
      <c r="AL85" s="23">
        <v>3.97</v>
      </c>
      <c r="AM85" s="51">
        <v>0.01</v>
      </c>
      <c r="AN85" s="51">
        <v>0.27</v>
      </c>
      <c r="AO85" s="51">
        <v>1665</v>
      </c>
      <c r="AP85" s="51">
        <v>1535</v>
      </c>
    </row>
    <row r="86" spans="1:42" x14ac:dyDescent="0.4">
      <c r="A86" s="21" t="s">
        <v>368</v>
      </c>
      <c r="B86" s="41">
        <v>45939</v>
      </c>
      <c r="C86" s="41">
        <v>45940</v>
      </c>
      <c r="D86" s="23">
        <v>40</v>
      </c>
      <c r="E86" s="23" t="s">
        <v>200</v>
      </c>
      <c r="F86" s="42">
        <v>15.428000000000001</v>
      </c>
      <c r="G86" s="23" t="s">
        <v>229</v>
      </c>
      <c r="H86" s="23" t="s">
        <v>366</v>
      </c>
      <c r="I86" s="23" t="s">
        <v>369</v>
      </c>
      <c r="J86" s="23">
        <v>16</v>
      </c>
      <c r="K86" s="23" t="s">
        <v>204</v>
      </c>
      <c r="L86" s="44">
        <v>147.375</v>
      </c>
      <c r="M86" s="44">
        <v>12.08</v>
      </c>
      <c r="N86" s="45">
        <f t="shared" si="21"/>
        <v>1.208</v>
      </c>
      <c r="O86" s="46">
        <v>228</v>
      </c>
      <c r="P86" s="47">
        <f t="shared" si="16"/>
        <v>1.1399999999999999</v>
      </c>
      <c r="Q86" s="23">
        <v>0</v>
      </c>
      <c r="R86" s="23">
        <v>0</v>
      </c>
      <c r="S86" s="23">
        <v>0</v>
      </c>
      <c r="T86" s="23">
        <v>196</v>
      </c>
      <c r="U86" s="23">
        <v>0</v>
      </c>
      <c r="V86" s="23">
        <v>4</v>
      </c>
      <c r="W86" s="48">
        <f t="shared" si="17"/>
        <v>196</v>
      </c>
      <c r="X86" s="48">
        <f t="shared" si="18"/>
        <v>4</v>
      </c>
      <c r="Y86" s="23"/>
      <c r="Z86" s="23"/>
      <c r="AA86" s="23"/>
      <c r="AB86" s="78"/>
      <c r="AC86" s="49">
        <f t="shared" si="19"/>
        <v>98</v>
      </c>
      <c r="AD86" s="50">
        <f t="shared" si="20"/>
        <v>0</v>
      </c>
      <c r="AE86" s="50" t="s">
        <v>205</v>
      </c>
      <c r="AF86" s="50" t="s">
        <v>205</v>
      </c>
      <c r="AG86" s="41">
        <v>45940</v>
      </c>
      <c r="AH86" s="43">
        <v>23.9</v>
      </c>
      <c r="AI86" s="23">
        <v>3.61</v>
      </c>
      <c r="AJ86" s="23">
        <v>7.65</v>
      </c>
      <c r="AK86" s="51">
        <v>0.5</v>
      </c>
      <c r="AL86" s="23">
        <v>4.6100000000000003</v>
      </c>
      <c r="AM86" s="51">
        <v>0.01</v>
      </c>
      <c r="AN86" s="51">
        <v>0.03</v>
      </c>
      <c r="AO86" s="51">
        <v>1776</v>
      </c>
      <c r="AP86" s="51">
        <v>1289</v>
      </c>
    </row>
    <row r="87" spans="1:42" x14ac:dyDescent="0.4">
      <c r="A87" s="21" t="s">
        <v>370</v>
      </c>
      <c r="B87" s="41">
        <v>45939</v>
      </c>
      <c r="C87" s="41">
        <v>45940</v>
      </c>
      <c r="D87" s="23">
        <v>33</v>
      </c>
      <c r="E87" s="23" t="s">
        <v>200</v>
      </c>
      <c r="F87" s="42">
        <v>14.4025</v>
      </c>
      <c r="G87" s="23" t="s">
        <v>216</v>
      </c>
      <c r="H87" s="23" t="s">
        <v>317</v>
      </c>
      <c r="I87" s="23" t="s">
        <v>318</v>
      </c>
      <c r="J87" s="23">
        <v>16</v>
      </c>
      <c r="K87" s="23" t="s">
        <v>204</v>
      </c>
      <c r="L87" s="44">
        <v>199.83</v>
      </c>
      <c r="M87" s="44">
        <v>11.26</v>
      </c>
      <c r="N87" s="45">
        <f t="shared" si="21"/>
        <v>1.1259999999999999</v>
      </c>
      <c r="O87" s="46">
        <v>176</v>
      </c>
      <c r="P87" s="47">
        <f t="shared" si="16"/>
        <v>0.88</v>
      </c>
      <c r="Q87" s="23">
        <v>0</v>
      </c>
      <c r="R87" s="23">
        <v>0</v>
      </c>
      <c r="S87" s="23">
        <v>0</v>
      </c>
      <c r="T87" s="23">
        <v>200</v>
      </c>
      <c r="U87" s="23">
        <v>0</v>
      </c>
      <c r="V87" s="23">
        <v>0</v>
      </c>
      <c r="W87" s="48">
        <f t="shared" si="17"/>
        <v>200</v>
      </c>
      <c r="X87" s="48">
        <f t="shared" si="18"/>
        <v>0</v>
      </c>
      <c r="Y87" s="23"/>
      <c r="Z87" s="23"/>
      <c r="AA87" s="23"/>
      <c r="AB87" s="78"/>
      <c r="AC87" s="49">
        <f t="shared" si="19"/>
        <v>100</v>
      </c>
      <c r="AD87" s="50">
        <f t="shared" si="20"/>
        <v>0</v>
      </c>
      <c r="AE87" s="50" t="s">
        <v>205</v>
      </c>
      <c r="AF87" s="50" t="s">
        <v>205</v>
      </c>
      <c r="AG87" s="41">
        <v>45940</v>
      </c>
      <c r="AH87" s="43">
        <v>24.5</v>
      </c>
      <c r="AI87" s="23">
        <v>3.61</v>
      </c>
      <c r="AJ87" s="23">
        <v>4.6500000000000004</v>
      </c>
      <c r="AK87" s="51">
        <v>0.01</v>
      </c>
      <c r="AL87" s="23">
        <v>1.34</v>
      </c>
      <c r="AM87" s="51">
        <v>0</v>
      </c>
      <c r="AN87" s="51">
        <v>0</v>
      </c>
      <c r="AO87" s="51">
        <v>1493</v>
      </c>
      <c r="AP87" s="51">
        <v>1459</v>
      </c>
    </row>
    <row r="88" spans="1:42" x14ac:dyDescent="0.4">
      <c r="A88" s="21" t="s">
        <v>371</v>
      </c>
      <c r="B88" s="41">
        <v>45939</v>
      </c>
      <c r="C88" s="41">
        <v>45940</v>
      </c>
      <c r="D88" s="23">
        <v>12</v>
      </c>
      <c r="E88" s="23" t="s">
        <v>200</v>
      </c>
      <c r="F88" s="42">
        <v>6.2889999999999997</v>
      </c>
      <c r="G88" s="23" t="s">
        <v>216</v>
      </c>
      <c r="H88" s="23" t="s">
        <v>259</v>
      </c>
      <c r="I88" s="23" t="s">
        <v>260</v>
      </c>
      <c r="J88" s="23">
        <v>33</v>
      </c>
      <c r="K88" s="23" t="s">
        <v>204</v>
      </c>
      <c r="L88" s="44">
        <v>229.25</v>
      </c>
      <c r="M88" s="44">
        <v>14.3</v>
      </c>
      <c r="N88" s="45">
        <f t="shared" si="21"/>
        <v>1.4300000000000002</v>
      </c>
      <c r="O88" s="46">
        <v>319</v>
      </c>
      <c r="P88" s="47">
        <f t="shared" si="16"/>
        <v>1.595</v>
      </c>
      <c r="Q88" s="23">
        <v>0</v>
      </c>
      <c r="R88" s="23">
        <v>0</v>
      </c>
      <c r="S88" s="23">
        <v>0</v>
      </c>
      <c r="T88" s="23">
        <v>90</v>
      </c>
      <c r="U88" s="23">
        <v>4</v>
      </c>
      <c r="V88" s="23">
        <v>6</v>
      </c>
      <c r="W88" s="48">
        <f t="shared" si="17"/>
        <v>94</v>
      </c>
      <c r="X88" s="48">
        <f t="shared" si="18"/>
        <v>6</v>
      </c>
      <c r="Y88" s="23"/>
      <c r="Z88" s="23"/>
      <c r="AA88" s="23"/>
      <c r="AB88" s="78"/>
      <c r="AC88" s="49">
        <f t="shared" si="19"/>
        <v>94</v>
      </c>
      <c r="AD88" s="50">
        <f t="shared" si="20"/>
        <v>0</v>
      </c>
      <c r="AE88" s="50" t="s">
        <v>205</v>
      </c>
      <c r="AF88" s="50" t="s">
        <v>205</v>
      </c>
      <c r="AG88" s="41">
        <v>45940</v>
      </c>
      <c r="AH88" s="43">
        <v>25.8</v>
      </c>
      <c r="AI88" s="23">
        <v>4.01</v>
      </c>
      <c r="AJ88" s="23">
        <v>5.25</v>
      </c>
      <c r="AK88" s="51">
        <v>0.9</v>
      </c>
      <c r="AL88" s="23">
        <v>1.94</v>
      </c>
      <c r="AM88" s="51">
        <v>0.13</v>
      </c>
      <c r="AN88" s="51">
        <v>0.2</v>
      </c>
      <c r="AO88" s="51">
        <v>1261</v>
      </c>
      <c r="AP88" s="51">
        <v>1221</v>
      </c>
    </row>
    <row r="89" spans="1:42" x14ac:dyDescent="0.4">
      <c r="A89" s="21" t="s">
        <v>372</v>
      </c>
      <c r="B89" s="41">
        <v>45940</v>
      </c>
      <c r="C89" s="41">
        <v>45941</v>
      </c>
      <c r="D89" s="23">
        <v>37</v>
      </c>
      <c r="E89" s="23" t="s">
        <v>200</v>
      </c>
      <c r="F89" s="42">
        <v>15.682</v>
      </c>
      <c r="G89" s="23" t="s">
        <v>239</v>
      </c>
      <c r="H89" s="23" t="s">
        <v>299</v>
      </c>
      <c r="I89" s="23" t="s">
        <v>373</v>
      </c>
      <c r="J89" s="23">
        <v>28</v>
      </c>
      <c r="K89" s="23" t="s">
        <v>204</v>
      </c>
      <c r="L89" s="44">
        <v>133.66</v>
      </c>
      <c r="M89" s="44">
        <v>13.7</v>
      </c>
      <c r="N89" s="45">
        <f t="shared" si="21"/>
        <v>1.3699999999999999</v>
      </c>
      <c r="O89" s="46">
        <v>258</v>
      </c>
      <c r="P89" s="47">
        <f t="shared" si="16"/>
        <v>1.29</v>
      </c>
      <c r="Q89" s="23">
        <v>0</v>
      </c>
      <c r="R89" s="23">
        <v>0</v>
      </c>
      <c r="S89" s="23">
        <v>0</v>
      </c>
      <c r="T89" s="23">
        <v>187</v>
      </c>
      <c r="U89" s="23">
        <v>8</v>
      </c>
      <c r="V89" s="23">
        <v>5</v>
      </c>
      <c r="W89" s="48">
        <f t="shared" si="17"/>
        <v>195</v>
      </c>
      <c r="X89" s="48">
        <f t="shared" si="18"/>
        <v>5</v>
      </c>
      <c r="Y89" s="23"/>
      <c r="Z89" s="23"/>
      <c r="AA89" s="23"/>
      <c r="AB89" s="78"/>
      <c r="AC89" s="49">
        <f t="shared" si="19"/>
        <v>97.5</v>
      </c>
      <c r="AD89" s="50">
        <f t="shared" si="20"/>
        <v>0</v>
      </c>
      <c r="AE89" s="50" t="s">
        <v>205</v>
      </c>
      <c r="AF89" s="50" t="s">
        <v>205</v>
      </c>
      <c r="AG89" s="41">
        <v>45941</v>
      </c>
      <c r="AH89" s="43">
        <v>22.3</v>
      </c>
      <c r="AI89" s="23">
        <v>3.82</v>
      </c>
      <c r="AJ89" s="23">
        <v>3.9</v>
      </c>
      <c r="AK89" s="51">
        <v>0.1</v>
      </c>
      <c r="AL89" s="23">
        <v>1.87</v>
      </c>
      <c r="AM89" s="51">
        <v>0</v>
      </c>
      <c r="AN89" s="51">
        <v>0</v>
      </c>
      <c r="AO89" s="51">
        <v>1435</v>
      </c>
      <c r="AP89" s="51">
        <v>1726</v>
      </c>
    </row>
    <row r="90" spans="1:42" x14ac:dyDescent="0.4">
      <c r="A90" s="21" t="s">
        <v>374</v>
      </c>
      <c r="B90" s="41">
        <v>45940</v>
      </c>
      <c r="C90" s="41">
        <v>45941</v>
      </c>
      <c r="D90" s="23">
        <v>9</v>
      </c>
      <c r="E90" s="23" t="s">
        <v>200</v>
      </c>
      <c r="F90" s="42">
        <v>2.9079999999999999</v>
      </c>
      <c r="G90" s="23" t="s">
        <v>239</v>
      </c>
      <c r="H90" s="23" t="s">
        <v>213</v>
      </c>
      <c r="I90" s="23" t="s">
        <v>351</v>
      </c>
      <c r="J90" s="23">
        <v>26</v>
      </c>
      <c r="K90" s="23" t="s">
        <v>204</v>
      </c>
      <c r="L90" s="44">
        <v>156.5</v>
      </c>
      <c r="M90" s="44">
        <v>13.8</v>
      </c>
      <c r="N90" s="45">
        <f t="shared" si="21"/>
        <v>1.3800000000000001</v>
      </c>
      <c r="O90" s="46">
        <v>220</v>
      </c>
      <c r="P90" s="47">
        <f t="shared" si="16"/>
        <v>1.1000000000000001</v>
      </c>
      <c r="Q90" s="23">
        <v>0</v>
      </c>
      <c r="R90" s="23">
        <v>0</v>
      </c>
      <c r="S90" s="23">
        <v>0</v>
      </c>
      <c r="T90" s="23">
        <v>96</v>
      </c>
      <c r="U90" s="23">
        <v>0</v>
      </c>
      <c r="V90" s="23">
        <v>4</v>
      </c>
      <c r="W90" s="48">
        <f t="shared" si="17"/>
        <v>96</v>
      </c>
      <c r="X90" s="48">
        <f t="shared" si="18"/>
        <v>4</v>
      </c>
      <c r="Y90" s="23"/>
      <c r="Z90" s="23"/>
      <c r="AA90" s="23"/>
      <c r="AB90" s="78"/>
      <c r="AC90" s="49">
        <f t="shared" si="19"/>
        <v>96</v>
      </c>
      <c r="AD90" s="50">
        <f t="shared" si="20"/>
        <v>0</v>
      </c>
      <c r="AE90" s="50" t="s">
        <v>205</v>
      </c>
      <c r="AF90" s="50" t="s">
        <v>205</v>
      </c>
      <c r="AG90" s="41">
        <v>45941</v>
      </c>
      <c r="AH90" s="43">
        <v>23.4</v>
      </c>
      <c r="AI90" s="51">
        <v>3.85</v>
      </c>
      <c r="AJ90" s="51">
        <v>3.75</v>
      </c>
      <c r="AK90" s="51">
        <v>0.01</v>
      </c>
      <c r="AL90" s="51">
        <v>1.7</v>
      </c>
      <c r="AM90" s="51">
        <v>0</v>
      </c>
      <c r="AN90" s="51">
        <v>0.05</v>
      </c>
      <c r="AO90" s="51">
        <v>1232</v>
      </c>
      <c r="AP90" s="51">
        <v>1572</v>
      </c>
    </row>
    <row r="91" spans="1:42" x14ac:dyDescent="0.4">
      <c r="A91" s="21" t="s">
        <v>375</v>
      </c>
      <c r="B91" s="41">
        <v>45941</v>
      </c>
      <c r="C91" s="41">
        <v>45942</v>
      </c>
      <c r="D91" s="23">
        <v>21</v>
      </c>
      <c r="E91" s="23" t="s">
        <v>200</v>
      </c>
      <c r="F91" s="42">
        <v>10.861000000000001</v>
      </c>
      <c r="G91" s="23" t="s">
        <v>216</v>
      </c>
      <c r="H91" s="23" t="s">
        <v>363</v>
      </c>
      <c r="I91" s="23" t="s">
        <v>376</v>
      </c>
      <c r="J91" s="23">
        <v>26</v>
      </c>
      <c r="K91" s="23" t="s">
        <v>204</v>
      </c>
      <c r="L91" s="44">
        <v>137.12</v>
      </c>
      <c r="M91" s="44">
        <v>11.7</v>
      </c>
      <c r="N91" s="45">
        <f t="shared" si="21"/>
        <v>1.17</v>
      </c>
      <c r="O91" s="44">
        <v>193</v>
      </c>
      <c r="P91" s="47">
        <f t="shared" si="16"/>
        <v>0.96499999999999997</v>
      </c>
      <c r="Q91" s="23">
        <v>0</v>
      </c>
      <c r="R91" s="23">
        <v>0</v>
      </c>
      <c r="S91" s="23">
        <v>0</v>
      </c>
      <c r="T91" s="23">
        <v>134</v>
      </c>
      <c r="U91" s="23">
        <v>9</v>
      </c>
      <c r="V91" s="23">
        <v>7</v>
      </c>
      <c r="W91" s="48">
        <f t="shared" si="17"/>
        <v>143</v>
      </c>
      <c r="X91" s="48">
        <f t="shared" si="18"/>
        <v>7</v>
      </c>
      <c r="Y91" s="23"/>
      <c r="Z91" s="23"/>
      <c r="AA91" s="23"/>
      <c r="AB91" s="52"/>
      <c r="AC91" s="49">
        <f t="shared" si="19"/>
        <v>95.333333333333343</v>
      </c>
      <c r="AD91" s="50">
        <f t="shared" si="20"/>
        <v>0</v>
      </c>
      <c r="AE91" s="50" t="s">
        <v>205</v>
      </c>
      <c r="AF91" s="50" t="s">
        <v>205</v>
      </c>
      <c r="AG91" s="41">
        <v>45941</v>
      </c>
      <c r="AH91" s="43">
        <v>22.5</v>
      </c>
      <c r="AI91" s="51">
        <v>3.58</v>
      </c>
      <c r="AJ91" s="51">
        <v>6.45</v>
      </c>
      <c r="AK91" s="51">
        <v>0.4</v>
      </c>
      <c r="AL91" s="51">
        <v>2.64</v>
      </c>
      <c r="AM91" s="51">
        <v>0.04</v>
      </c>
      <c r="AN91" s="51">
        <v>0.52</v>
      </c>
      <c r="AO91" s="51">
        <v>1621</v>
      </c>
      <c r="AP91" s="51">
        <v>1576</v>
      </c>
    </row>
    <row r="92" spans="1:42" x14ac:dyDescent="0.4">
      <c r="A92" s="21" t="s">
        <v>377</v>
      </c>
      <c r="B92" s="41">
        <v>45940</v>
      </c>
      <c r="C92" s="41">
        <v>45941</v>
      </c>
      <c r="D92" s="23">
        <v>28</v>
      </c>
      <c r="E92" s="23" t="s">
        <v>200</v>
      </c>
      <c r="F92" s="42">
        <v>14.1035</v>
      </c>
      <c r="G92" s="23" t="s">
        <v>216</v>
      </c>
      <c r="H92" s="23" t="s">
        <v>213</v>
      </c>
      <c r="I92" s="23" t="s">
        <v>235</v>
      </c>
      <c r="J92" s="23">
        <v>26</v>
      </c>
      <c r="K92" s="23" t="s">
        <v>204</v>
      </c>
      <c r="L92" s="44">
        <v>141.5</v>
      </c>
      <c r="M92" s="44">
        <v>12.6</v>
      </c>
      <c r="N92" s="45">
        <f t="shared" si="21"/>
        <v>1.26</v>
      </c>
      <c r="O92" s="44">
        <v>220</v>
      </c>
      <c r="P92" s="47">
        <f t="shared" si="16"/>
        <v>1.1000000000000001</v>
      </c>
      <c r="Q92" s="23">
        <v>0</v>
      </c>
      <c r="R92" s="23">
        <v>0</v>
      </c>
      <c r="S92" s="23">
        <v>0</v>
      </c>
      <c r="T92" s="23">
        <v>182</v>
      </c>
      <c r="U92" s="23">
        <v>14</v>
      </c>
      <c r="V92" s="23">
        <v>4</v>
      </c>
      <c r="W92" s="48">
        <f t="shared" si="17"/>
        <v>196</v>
      </c>
      <c r="X92" s="48">
        <f t="shared" si="18"/>
        <v>4</v>
      </c>
      <c r="Y92" s="23"/>
      <c r="Z92" s="23"/>
      <c r="AA92" s="23"/>
      <c r="AB92" s="52"/>
      <c r="AC92" s="49">
        <f t="shared" si="19"/>
        <v>98</v>
      </c>
      <c r="AD92" s="50">
        <f t="shared" si="20"/>
        <v>0</v>
      </c>
      <c r="AE92" s="50" t="s">
        <v>205</v>
      </c>
      <c r="AF92" s="50" t="s">
        <v>205</v>
      </c>
      <c r="AG92" s="41">
        <v>45941</v>
      </c>
      <c r="AH92" s="43">
        <v>22.9</v>
      </c>
      <c r="AI92" s="51">
        <v>3.81</v>
      </c>
      <c r="AJ92" s="51">
        <v>5.85</v>
      </c>
      <c r="AK92" s="51">
        <v>0.01</v>
      </c>
      <c r="AL92" s="51">
        <v>2.0299999999999998</v>
      </c>
      <c r="AM92" s="51">
        <v>0</v>
      </c>
      <c r="AN92" s="51">
        <v>0.03</v>
      </c>
      <c r="AO92" s="51">
        <v>1269</v>
      </c>
      <c r="AP92" s="51">
        <v>1209</v>
      </c>
    </row>
    <row r="93" spans="1:42" x14ac:dyDescent="0.4">
      <c r="A93" s="21" t="s">
        <v>378</v>
      </c>
      <c r="B93" s="41">
        <v>45943</v>
      </c>
      <c r="C93" s="41">
        <v>45944</v>
      </c>
      <c r="D93" s="21">
        <v>1</v>
      </c>
      <c r="E93" s="23" t="s">
        <v>200</v>
      </c>
      <c r="F93" s="61">
        <v>0.245</v>
      </c>
      <c r="G93" s="21" t="s">
        <v>250</v>
      </c>
      <c r="H93" s="23" t="s">
        <v>251</v>
      </c>
      <c r="I93" s="21" t="s">
        <v>379</v>
      </c>
      <c r="J93" s="23">
        <v>18</v>
      </c>
      <c r="K93" s="23" t="s">
        <v>204</v>
      </c>
      <c r="L93" s="57">
        <v>116.5</v>
      </c>
      <c r="M93" s="57">
        <v>13.2</v>
      </c>
      <c r="N93" s="62">
        <f t="shared" si="21"/>
        <v>1.3199999999999998</v>
      </c>
      <c r="O93" s="57">
        <v>204</v>
      </c>
      <c r="P93" s="76">
        <f t="shared" si="16"/>
        <v>1.02</v>
      </c>
      <c r="Q93" s="21">
        <v>0</v>
      </c>
      <c r="R93" s="21">
        <v>0</v>
      </c>
      <c r="S93" s="21">
        <v>2</v>
      </c>
      <c r="T93" s="21">
        <v>94</v>
      </c>
      <c r="U93" s="21">
        <v>0</v>
      </c>
      <c r="V93" s="21">
        <v>4</v>
      </c>
      <c r="W93" s="63">
        <f t="shared" si="17"/>
        <v>94</v>
      </c>
      <c r="X93" s="63">
        <f t="shared" si="18"/>
        <v>6</v>
      </c>
      <c r="AB93" s="79"/>
      <c r="AC93" s="49">
        <f t="shared" si="19"/>
        <v>94</v>
      </c>
      <c r="AD93" s="50">
        <f t="shared" si="20"/>
        <v>0</v>
      </c>
      <c r="AE93" s="50" t="s">
        <v>205</v>
      </c>
      <c r="AF93" s="50" t="s">
        <v>205</v>
      </c>
      <c r="AG93" s="41">
        <v>45943</v>
      </c>
      <c r="AH93" s="43">
        <v>21.9</v>
      </c>
      <c r="AI93" s="51">
        <v>3.58</v>
      </c>
      <c r="AJ93" s="51">
        <v>4.6500000000000004</v>
      </c>
      <c r="AK93" s="51">
        <v>0.03</v>
      </c>
      <c r="AL93" s="51">
        <v>1.32</v>
      </c>
      <c r="AM93" s="51">
        <v>0</v>
      </c>
      <c r="AN93" s="51">
        <v>0</v>
      </c>
      <c r="AO93" s="51">
        <v>1240</v>
      </c>
      <c r="AP93" s="51">
        <v>665</v>
      </c>
    </row>
    <row r="94" spans="1:42" x14ac:dyDescent="0.4">
      <c r="A94" s="21" t="s">
        <v>380</v>
      </c>
      <c r="B94" s="41">
        <v>45943</v>
      </c>
      <c r="C94" s="41">
        <v>45944</v>
      </c>
      <c r="D94" s="21">
        <v>1</v>
      </c>
      <c r="E94" s="23" t="s">
        <v>200</v>
      </c>
      <c r="F94" s="61">
        <v>0.16800000000000001</v>
      </c>
      <c r="G94" s="23" t="s">
        <v>250</v>
      </c>
      <c r="H94" s="23" t="s">
        <v>251</v>
      </c>
      <c r="I94" s="23" t="s">
        <v>381</v>
      </c>
      <c r="J94" s="23">
        <v>19</v>
      </c>
      <c r="K94" s="23" t="s">
        <v>204</v>
      </c>
      <c r="L94" s="57">
        <v>133.5</v>
      </c>
      <c r="M94" s="57">
        <v>11.4</v>
      </c>
      <c r="N94" s="62">
        <f t="shared" si="21"/>
        <v>1.1400000000000001</v>
      </c>
      <c r="O94" s="57">
        <v>206</v>
      </c>
      <c r="P94" s="76">
        <f t="shared" si="16"/>
        <v>1.03</v>
      </c>
      <c r="Q94" s="21">
        <v>0</v>
      </c>
      <c r="R94" s="21">
        <v>0</v>
      </c>
      <c r="S94" s="21">
        <v>0</v>
      </c>
      <c r="T94" s="21">
        <v>93</v>
      </c>
      <c r="U94" s="21">
        <v>6</v>
      </c>
      <c r="V94" s="21">
        <v>1</v>
      </c>
      <c r="W94" s="63">
        <f t="shared" si="17"/>
        <v>99</v>
      </c>
      <c r="X94" s="63">
        <f t="shared" si="18"/>
        <v>1</v>
      </c>
      <c r="AB94" s="79"/>
      <c r="AC94" s="49">
        <f t="shared" si="19"/>
        <v>99</v>
      </c>
      <c r="AD94" s="50">
        <f t="shared" si="20"/>
        <v>0</v>
      </c>
      <c r="AE94" s="50" t="s">
        <v>205</v>
      </c>
      <c r="AF94" s="50" t="s">
        <v>205</v>
      </c>
      <c r="AG94" s="41">
        <v>45943</v>
      </c>
      <c r="AH94" s="43">
        <v>22.5</v>
      </c>
      <c r="AI94" s="51">
        <v>3.58</v>
      </c>
      <c r="AJ94" s="51">
        <v>4.95</v>
      </c>
      <c r="AK94" s="51">
        <v>0.02</v>
      </c>
      <c r="AL94" s="51">
        <v>2.09</v>
      </c>
      <c r="AM94" s="51">
        <v>0</v>
      </c>
      <c r="AN94" s="51">
        <v>0</v>
      </c>
      <c r="AO94" s="51">
        <v>604</v>
      </c>
      <c r="AP94" s="51">
        <v>604</v>
      </c>
    </row>
    <row r="95" spans="1:42" x14ac:dyDescent="0.4">
      <c r="A95" s="21" t="s">
        <v>382</v>
      </c>
      <c r="B95" s="41">
        <v>45943</v>
      </c>
      <c r="C95" s="41">
        <v>45944</v>
      </c>
      <c r="D95" s="21">
        <v>1</v>
      </c>
      <c r="E95" s="23" t="s">
        <v>200</v>
      </c>
      <c r="F95" s="61">
        <v>0.16800000000000001</v>
      </c>
      <c r="G95" s="21" t="s">
        <v>250</v>
      </c>
      <c r="H95" s="23" t="s">
        <v>251</v>
      </c>
      <c r="I95" s="23" t="s">
        <v>383</v>
      </c>
      <c r="J95" s="23">
        <v>15</v>
      </c>
      <c r="K95" s="23" t="s">
        <v>204</v>
      </c>
      <c r="L95" s="57">
        <v>130</v>
      </c>
      <c r="M95" s="57">
        <v>12.8</v>
      </c>
      <c r="N95" s="62">
        <f t="shared" si="21"/>
        <v>1.28</v>
      </c>
      <c r="O95" s="57">
        <v>203</v>
      </c>
      <c r="P95" s="76">
        <f t="shared" si="16"/>
        <v>1.0149999999999999</v>
      </c>
      <c r="Q95" s="21">
        <v>0</v>
      </c>
      <c r="R95" s="21">
        <v>0</v>
      </c>
      <c r="S95" s="21">
        <v>0</v>
      </c>
      <c r="T95" s="21">
        <v>95</v>
      </c>
      <c r="U95" s="21">
        <v>0</v>
      </c>
      <c r="V95" s="21">
        <v>5</v>
      </c>
      <c r="W95" s="63">
        <f t="shared" si="17"/>
        <v>95</v>
      </c>
      <c r="X95" s="63">
        <f t="shared" si="18"/>
        <v>5</v>
      </c>
      <c r="AB95" s="79"/>
      <c r="AC95" s="49">
        <f t="shared" si="19"/>
        <v>95</v>
      </c>
      <c r="AD95" s="50">
        <f t="shared" si="20"/>
        <v>0</v>
      </c>
      <c r="AE95" s="50" t="s">
        <v>205</v>
      </c>
      <c r="AF95" s="50" t="s">
        <v>205</v>
      </c>
      <c r="AG95" s="41">
        <v>45943</v>
      </c>
      <c r="AH95" s="43">
        <v>23.3</v>
      </c>
      <c r="AI95" s="51">
        <v>3.44</v>
      </c>
      <c r="AJ95" s="51">
        <v>5.0999999999999996</v>
      </c>
      <c r="AK95" s="51">
        <v>0.02</v>
      </c>
      <c r="AL95" s="51">
        <v>1</v>
      </c>
      <c r="AM95" s="51">
        <v>0</v>
      </c>
      <c r="AN95" s="51">
        <v>0</v>
      </c>
      <c r="AO95" s="51">
        <v>1342</v>
      </c>
      <c r="AP95" s="51">
        <v>751</v>
      </c>
    </row>
    <row r="96" spans="1:42" x14ac:dyDescent="0.4">
      <c r="A96" s="21" t="s">
        <v>384</v>
      </c>
      <c r="B96" s="41">
        <v>45943</v>
      </c>
      <c r="C96" s="41">
        <v>45944</v>
      </c>
      <c r="D96" s="21">
        <v>3</v>
      </c>
      <c r="E96" s="23" t="s">
        <v>200</v>
      </c>
      <c r="F96" s="72">
        <v>0.73399999999999999</v>
      </c>
      <c r="G96" s="23" t="s">
        <v>250</v>
      </c>
      <c r="H96" s="23" t="s">
        <v>251</v>
      </c>
      <c r="I96" s="23" t="s">
        <v>385</v>
      </c>
      <c r="J96" s="23">
        <v>20</v>
      </c>
      <c r="K96" s="23" t="s">
        <v>204</v>
      </c>
      <c r="L96" s="57">
        <v>126.75</v>
      </c>
      <c r="M96" s="57">
        <v>11.83</v>
      </c>
      <c r="N96" s="62">
        <f t="shared" si="21"/>
        <v>1.1830000000000001</v>
      </c>
      <c r="O96" s="57">
        <v>200</v>
      </c>
      <c r="P96" s="76">
        <f t="shared" si="16"/>
        <v>1</v>
      </c>
      <c r="Q96" s="21">
        <v>0</v>
      </c>
      <c r="R96" s="21">
        <v>0</v>
      </c>
      <c r="S96" s="21">
        <v>0</v>
      </c>
      <c r="T96" s="21">
        <v>96</v>
      </c>
      <c r="U96" s="21">
        <v>0</v>
      </c>
      <c r="V96" s="21">
        <v>4</v>
      </c>
      <c r="W96" s="63">
        <f t="shared" si="17"/>
        <v>96</v>
      </c>
      <c r="X96" s="63">
        <f t="shared" si="18"/>
        <v>4</v>
      </c>
      <c r="AB96" s="79"/>
      <c r="AC96" s="49">
        <f t="shared" si="19"/>
        <v>96</v>
      </c>
      <c r="AD96" s="50">
        <f t="shared" si="20"/>
        <v>0</v>
      </c>
      <c r="AE96" s="50" t="s">
        <v>205</v>
      </c>
      <c r="AF96" s="50" t="s">
        <v>205</v>
      </c>
      <c r="AG96" s="41">
        <v>45943</v>
      </c>
      <c r="AH96" s="43">
        <v>23.9</v>
      </c>
      <c r="AI96" s="51">
        <v>3.77</v>
      </c>
      <c r="AJ96" s="51">
        <v>3.9</v>
      </c>
      <c r="AK96" s="51">
        <v>0.02</v>
      </c>
      <c r="AL96" s="51">
        <v>1.91</v>
      </c>
      <c r="AM96" s="51">
        <v>0</v>
      </c>
      <c r="AN96" s="51">
        <v>0</v>
      </c>
      <c r="AO96" s="51">
        <v>1524</v>
      </c>
      <c r="AP96" s="51">
        <v>914</v>
      </c>
    </row>
    <row r="97" spans="1:42" x14ac:dyDescent="0.4">
      <c r="A97" s="21" t="s">
        <v>386</v>
      </c>
      <c r="B97" s="41">
        <v>45943</v>
      </c>
      <c r="C97" s="41">
        <v>45944</v>
      </c>
      <c r="D97" s="21">
        <v>4</v>
      </c>
      <c r="E97" s="23" t="s">
        <v>200</v>
      </c>
      <c r="F97" s="61">
        <v>0.85499999999999998</v>
      </c>
      <c r="G97" s="21" t="s">
        <v>250</v>
      </c>
      <c r="H97" s="23" t="s">
        <v>251</v>
      </c>
      <c r="I97" s="23" t="s">
        <v>387</v>
      </c>
      <c r="J97" s="23">
        <v>20</v>
      </c>
      <c r="K97" s="23" t="s">
        <v>204</v>
      </c>
      <c r="L97" s="57">
        <v>143.75</v>
      </c>
      <c r="M97" s="57">
        <v>14.5</v>
      </c>
      <c r="N97" s="62">
        <f t="shared" si="21"/>
        <v>1.45</v>
      </c>
      <c r="O97" s="57">
        <v>267</v>
      </c>
      <c r="P97" s="76">
        <f t="shared" si="16"/>
        <v>1.335</v>
      </c>
      <c r="Q97" s="21">
        <v>0</v>
      </c>
      <c r="R97" s="21">
        <v>0</v>
      </c>
      <c r="S97" s="21">
        <v>2</v>
      </c>
      <c r="T97" s="21">
        <v>96</v>
      </c>
      <c r="U97" s="21">
        <v>0</v>
      </c>
      <c r="V97" s="21">
        <v>2</v>
      </c>
      <c r="W97" s="63">
        <f t="shared" si="17"/>
        <v>96</v>
      </c>
      <c r="X97" s="63">
        <f t="shared" si="18"/>
        <v>4</v>
      </c>
      <c r="AB97" s="79"/>
      <c r="AC97" s="49">
        <f t="shared" si="19"/>
        <v>96</v>
      </c>
      <c r="AD97" s="50">
        <f t="shared" si="20"/>
        <v>0</v>
      </c>
      <c r="AE97" s="50" t="s">
        <v>205</v>
      </c>
      <c r="AF97" s="50" t="s">
        <v>205</v>
      </c>
      <c r="AG97" s="41">
        <v>45943</v>
      </c>
      <c r="AH97" s="43">
        <v>20.8</v>
      </c>
      <c r="AI97" s="51">
        <v>3.7</v>
      </c>
      <c r="AJ97" s="51">
        <v>4.95</v>
      </c>
      <c r="AK97" s="51">
        <v>0.03</v>
      </c>
      <c r="AL97" s="51">
        <v>3.19</v>
      </c>
      <c r="AM97" s="51">
        <v>0</v>
      </c>
      <c r="AN97" s="51">
        <v>0</v>
      </c>
      <c r="AO97" s="51">
        <v>1026</v>
      </c>
      <c r="AP97" s="51">
        <v>540</v>
      </c>
    </row>
    <row r="98" spans="1:42" x14ac:dyDescent="0.4">
      <c r="A98" s="21" t="s">
        <v>388</v>
      </c>
      <c r="B98" s="41">
        <v>45943</v>
      </c>
      <c r="C98" s="60">
        <v>45944</v>
      </c>
      <c r="D98" s="21">
        <v>1</v>
      </c>
      <c r="E98" s="23" t="s">
        <v>200</v>
      </c>
      <c r="F98" s="61">
        <v>0.59299999999999997</v>
      </c>
      <c r="G98" s="23" t="s">
        <v>216</v>
      </c>
      <c r="H98" s="23" t="s">
        <v>259</v>
      </c>
      <c r="I98" s="23" t="s">
        <v>389</v>
      </c>
      <c r="J98" s="23">
        <v>21</v>
      </c>
      <c r="K98" s="23" t="s">
        <v>204</v>
      </c>
      <c r="L98" s="57">
        <v>200</v>
      </c>
      <c r="M98" s="57">
        <v>14.8</v>
      </c>
      <c r="N98" s="62">
        <f t="shared" si="21"/>
        <v>1.48</v>
      </c>
      <c r="O98" s="57">
        <v>280</v>
      </c>
      <c r="P98" s="76">
        <f t="shared" si="16"/>
        <v>1.4</v>
      </c>
      <c r="Q98" s="21">
        <v>0</v>
      </c>
      <c r="R98" s="21">
        <v>0</v>
      </c>
      <c r="S98" s="21">
        <v>0</v>
      </c>
      <c r="T98" s="21">
        <v>92</v>
      </c>
      <c r="U98" s="21">
        <v>4</v>
      </c>
      <c r="V98" s="21">
        <v>4</v>
      </c>
      <c r="W98" s="63">
        <f t="shared" si="17"/>
        <v>96</v>
      </c>
      <c r="X98" s="63">
        <f t="shared" si="18"/>
        <v>4</v>
      </c>
      <c r="AB98" s="79"/>
      <c r="AC98" s="49">
        <f t="shared" si="19"/>
        <v>96</v>
      </c>
      <c r="AD98" s="50">
        <f t="shared" si="20"/>
        <v>0</v>
      </c>
      <c r="AE98" s="50" t="s">
        <v>205</v>
      </c>
      <c r="AF98" s="50" t="s">
        <v>205</v>
      </c>
      <c r="AG98" s="41">
        <v>45944</v>
      </c>
      <c r="AH98" s="43">
        <v>26.8</v>
      </c>
      <c r="AI98" s="51">
        <v>3.98</v>
      </c>
      <c r="AJ98" s="51">
        <v>4.05</v>
      </c>
      <c r="AK98" s="51">
        <v>0.34</v>
      </c>
      <c r="AL98" s="52">
        <v>1.96</v>
      </c>
      <c r="AM98" s="52">
        <v>0.05</v>
      </c>
      <c r="AN98" s="52">
        <v>0.55000000000000004</v>
      </c>
      <c r="AO98" s="52">
        <v>1328</v>
      </c>
      <c r="AP98" s="52">
        <v>1169</v>
      </c>
    </row>
    <row r="99" spans="1:42" x14ac:dyDescent="0.4">
      <c r="A99" s="21" t="s">
        <v>390</v>
      </c>
      <c r="B99" s="60">
        <v>45945</v>
      </c>
      <c r="C99" s="60">
        <v>45946</v>
      </c>
      <c r="D99" s="21">
        <v>22</v>
      </c>
      <c r="E99" s="23" t="s">
        <v>200</v>
      </c>
      <c r="F99" s="61">
        <v>9.6519999999999992</v>
      </c>
      <c r="G99" s="23" t="s">
        <v>216</v>
      </c>
      <c r="H99" s="23" t="s">
        <v>317</v>
      </c>
      <c r="I99" s="23" t="s">
        <v>391</v>
      </c>
      <c r="J99" s="23">
        <v>13</v>
      </c>
      <c r="K99" s="23" t="s">
        <v>204</v>
      </c>
      <c r="L99" s="57">
        <v>123.25</v>
      </c>
      <c r="M99" s="57">
        <v>11.17</v>
      </c>
      <c r="N99" s="62">
        <f t="shared" si="21"/>
        <v>1.117</v>
      </c>
      <c r="O99" s="57">
        <v>170</v>
      </c>
      <c r="P99" s="76">
        <f t="shared" si="16"/>
        <v>0.85</v>
      </c>
      <c r="Q99" s="21">
        <v>0</v>
      </c>
      <c r="R99" s="21">
        <v>0</v>
      </c>
      <c r="S99" s="21">
        <v>0</v>
      </c>
      <c r="T99" s="21">
        <v>146</v>
      </c>
      <c r="U99" s="21">
        <v>2</v>
      </c>
      <c r="V99" s="21">
        <v>2</v>
      </c>
      <c r="W99" s="63">
        <f t="shared" si="17"/>
        <v>148</v>
      </c>
      <c r="X99" s="63">
        <f t="shared" si="18"/>
        <v>2</v>
      </c>
      <c r="AB99" s="79"/>
      <c r="AC99" s="49">
        <f t="shared" si="19"/>
        <v>98.666666666666671</v>
      </c>
      <c r="AD99" s="50">
        <f t="shared" si="20"/>
        <v>0</v>
      </c>
      <c r="AE99" s="50" t="s">
        <v>205</v>
      </c>
      <c r="AF99" s="50" t="s">
        <v>205</v>
      </c>
      <c r="AG99" s="41">
        <v>45946</v>
      </c>
      <c r="AH99" s="43">
        <v>24.7</v>
      </c>
      <c r="AI99" s="51">
        <v>3.43</v>
      </c>
      <c r="AJ99" s="51">
        <v>4.95</v>
      </c>
      <c r="AK99" s="51">
        <v>0</v>
      </c>
      <c r="AL99" s="52">
        <v>0.84</v>
      </c>
      <c r="AM99" s="52">
        <v>0</v>
      </c>
      <c r="AN99" s="52">
        <v>0</v>
      </c>
      <c r="AO99" s="52">
        <v>1544</v>
      </c>
      <c r="AP99" s="52">
        <v>1327</v>
      </c>
    </row>
    <row r="100" spans="1:42" x14ac:dyDescent="0.4">
      <c r="A100" s="21" t="s">
        <v>392</v>
      </c>
      <c r="B100" s="60">
        <v>45945</v>
      </c>
      <c r="C100" s="60">
        <v>45946</v>
      </c>
      <c r="D100" s="21">
        <v>1</v>
      </c>
      <c r="E100" s="23" t="s">
        <v>200</v>
      </c>
      <c r="F100" s="61">
        <v>0.33100000000000002</v>
      </c>
      <c r="G100" s="23" t="s">
        <v>216</v>
      </c>
      <c r="H100" s="23" t="s">
        <v>317</v>
      </c>
      <c r="I100" s="23" t="s">
        <v>393</v>
      </c>
      <c r="J100" s="23">
        <v>13</v>
      </c>
      <c r="K100" s="23" t="s">
        <v>204</v>
      </c>
      <c r="L100" s="57">
        <v>104.25</v>
      </c>
      <c r="M100" s="57">
        <v>11.13</v>
      </c>
      <c r="N100" s="62">
        <f t="shared" si="21"/>
        <v>1.113</v>
      </c>
      <c r="O100" s="57">
        <v>164</v>
      </c>
      <c r="P100" s="76">
        <f t="shared" si="16"/>
        <v>0.82</v>
      </c>
      <c r="Q100" s="21">
        <v>0</v>
      </c>
      <c r="R100" s="21">
        <v>0</v>
      </c>
      <c r="S100" s="21">
        <v>0</v>
      </c>
      <c r="T100" s="21">
        <v>100</v>
      </c>
      <c r="U100" s="21">
        <v>0</v>
      </c>
      <c r="V100" s="21">
        <v>0</v>
      </c>
      <c r="W100" s="63">
        <f t="shared" si="17"/>
        <v>100</v>
      </c>
      <c r="X100" s="63">
        <f t="shared" si="18"/>
        <v>0</v>
      </c>
      <c r="AB100" s="79"/>
      <c r="AC100" s="49">
        <f t="shared" si="19"/>
        <v>100</v>
      </c>
      <c r="AD100" s="50">
        <f t="shared" si="20"/>
        <v>0</v>
      </c>
      <c r="AE100" s="50" t="s">
        <v>205</v>
      </c>
      <c r="AF100" s="50" t="s">
        <v>205</v>
      </c>
      <c r="AG100" s="41">
        <v>45946</v>
      </c>
      <c r="AH100" s="43">
        <v>23.8</v>
      </c>
      <c r="AI100" s="51">
        <v>3.46</v>
      </c>
      <c r="AJ100" s="51">
        <v>5.0999999999999996</v>
      </c>
      <c r="AK100" s="51">
        <v>0</v>
      </c>
      <c r="AL100" s="52">
        <v>0.98</v>
      </c>
      <c r="AM100" s="52">
        <v>0</v>
      </c>
      <c r="AN100" s="52">
        <v>0</v>
      </c>
      <c r="AO100" s="52">
        <v>1969</v>
      </c>
      <c r="AP100" s="52">
        <v>1490</v>
      </c>
    </row>
    <row r="101" spans="1:42" x14ac:dyDescent="0.4">
      <c r="A101" s="21" t="s">
        <v>394</v>
      </c>
      <c r="B101" s="60">
        <v>45946</v>
      </c>
      <c r="C101" s="60">
        <v>45947</v>
      </c>
      <c r="D101" s="21">
        <v>11</v>
      </c>
      <c r="E101" s="23" t="s">
        <v>200</v>
      </c>
      <c r="F101" s="61">
        <v>5.6265000000000001</v>
      </c>
      <c r="G101" s="23" t="s">
        <v>216</v>
      </c>
      <c r="H101" s="21" t="s">
        <v>299</v>
      </c>
      <c r="I101" s="23" t="s">
        <v>395</v>
      </c>
      <c r="J101" s="23">
        <v>23</v>
      </c>
      <c r="K101" s="23" t="s">
        <v>204</v>
      </c>
      <c r="L101" s="57">
        <v>129.25</v>
      </c>
      <c r="M101" s="57">
        <v>12.23</v>
      </c>
      <c r="N101" s="62">
        <f t="shared" si="21"/>
        <v>1.2230000000000001</v>
      </c>
      <c r="O101" s="57">
        <v>230</v>
      </c>
      <c r="P101" s="76">
        <f t="shared" si="16"/>
        <v>1.1499999999999999</v>
      </c>
      <c r="Q101" s="21">
        <v>0</v>
      </c>
      <c r="R101" s="21">
        <v>0</v>
      </c>
      <c r="S101" s="21">
        <v>0</v>
      </c>
      <c r="T101" s="21">
        <v>98</v>
      </c>
      <c r="U101" s="21">
        <v>1</v>
      </c>
      <c r="V101" s="21">
        <v>1</v>
      </c>
      <c r="W101" s="63">
        <f t="shared" si="17"/>
        <v>99</v>
      </c>
      <c r="X101" s="63">
        <f t="shared" si="18"/>
        <v>1</v>
      </c>
      <c r="AB101" s="79"/>
      <c r="AC101" s="49">
        <f t="shared" si="19"/>
        <v>99</v>
      </c>
      <c r="AD101" s="50">
        <f t="shared" si="20"/>
        <v>0</v>
      </c>
      <c r="AE101" s="50" t="s">
        <v>205</v>
      </c>
      <c r="AF101" s="50" t="s">
        <v>205</v>
      </c>
      <c r="AG101" s="41">
        <v>45947</v>
      </c>
      <c r="AH101" s="43">
        <v>23.2</v>
      </c>
      <c r="AI101" s="51">
        <v>3.65</v>
      </c>
      <c r="AJ101" s="51">
        <v>5.0999999999999996</v>
      </c>
      <c r="AK101" s="51">
        <v>0.02</v>
      </c>
      <c r="AL101" s="52">
        <v>2.5499999999999998</v>
      </c>
      <c r="AM101" s="52">
        <v>0</v>
      </c>
      <c r="AN101" s="52">
        <v>0</v>
      </c>
      <c r="AO101" s="52">
        <v>1687</v>
      </c>
      <c r="AP101" s="52">
        <v>1641</v>
      </c>
    </row>
    <row r="102" spans="1:42" x14ac:dyDescent="0.4">
      <c r="A102" s="21" t="s">
        <v>396</v>
      </c>
      <c r="B102" s="60">
        <v>45946</v>
      </c>
      <c r="C102" s="60">
        <v>45947</v>
      </c>
      <c r="D102" s="21">
        <v>4</v>
      </c>
      <c r="E102" s="23" t="s">
        <v>200</v>
      </c>
      <c r="F102" s="61">
        <v>1.8720000000000001</v>
      </c>
      <c r="G102" s="23" t="s">
        <v>216</v>
      </c>
      <c r="H102" s="21" t="s">
        <v>251</v>
      </c>
      <c r="I102" s="21" t="s">
        <v>397</v>
      </c>
      <c r="J102" s="23">
        <v>9</v>
      </c>
      <c r="K102" s="23" t="s">
        <v>204</v>
      </c>
      <c r="L102" s="57">
        <v>68.5</v>
      </c>
      <c r="M102" s="57">
        <v>10.46</v>
      </c>
      <c r="N102" s="62">
        <f t="shared" si="21"/>
        <v>1.046</v>
      </c>
      <c r="O102" s="57">
        <v>144</v>
      </c>
      <c r="P102" s="76">
        <f t="shared" ref="P102:P121" si="22">O102/200</f>
        <v>0.72</v>
      </c>
      <c r="Q102" s="21">
        <v>0</v>
      </c>
      <c r="R102" s="21">
        <v>0</v>
      </c>
      <c r="S102" s="21">
        <v>11</v>
      </c>
      <c r="T102" s="21">
        <v>89</v>
      </c>
      <c r="U102" s="21">
        <v>0</v>
      </c>
      <c r="V102" s="21">
        <v>0</v>
      </c>
      <c r="W102" s="63">
        <f t="shared" ref="W102:W121" si="23">SUM(T102,U102)</f>
        <v>89</v>
      </c>
      <c r="X102" s="63">
        <f t="shared" ref="X102:X121" si="24">SUM(Q102,R102,S102,V102)</f>
        <v>11</v>
      </c>
      <c r="AB102" s="79"/>
      <c r="AC102" s="49">
        <f t="shared" ref="AC102:AC121" si="25">(W102/(W102+X102))*100</f>
        <v>89</v>
      </c>
      <c r="AD102" s="50">
        <f t="shared" ref="AD102:AD121" si="26">((Q102+R102)/(W102+X102))*100</f>
        <v>0</v>
      </c>
      <c r="AE102" s="50" t="s">
        <v>205</v>
      </c>
      <c r="AF102" s="50" t="s">
        <v>205</v>
      </c>
      <c r="AG102" s="41">
        <v>45947</v>
      </c>
      <c r="AH102" s="43">
        <v>22.1</v>
      </c>
      <c r="AI102" s="51">
        <v>3.64</v>
      </c>
      <c r="AJ102" s="51">
        <v>4.95</v>
      </c>
      <c r="AK102" s="51">
        <v>0.08</v>
      </c>
      <c r="AL102" s="52">
        <v>1.93</v>
      </c>
      <c r="AM102" s="52">
        <v>0</v>
      </c>
      <c r="AN102" s="52">
        <v>0</v>
      </c>
      <c r="AO102" s="52">
        <v>1148</v>
      </c>
      <c r="AP102" s="52">
        <v>803</v>
      </c>
    </row>
    <row r="103" spans="1:42" x14ac:dyDescent="0.4">
      <c r="A103" s="21" t="s">
        <v>398</v>
      </c>
      <c r="B103" s="60">
        <v>45946</v>
      </c>
      <c r="C103" s="60">
        <v>45947</v>
      </c>
      <c r="D103" s="23">
        <v>4</v>
      </c>
      <c r="E103" s="23" t="s">
        <v>200</v>
      </c>
      <c r="F103" s="42">
        <v>1.4490000000000001</v>
      </c>
      <c r="G103" s="23" t="s">
        <v>216</v>
      </c>
      <c r="H103" s="21" t="s">
        <v>251</v>
      </c>
      <c r="I103" s="23" t="s">
        <v>399</v>
      </c>
      <c r="J103" s="23">
        <v>16</v>
      </c>
      <c r="K103" s="23" t="s">
        <v>204</v>
      </c>
      <c r="L103" s="44">
        <v>96.5</v>
      </c>
      <c r="M103" s="44">
        <v>11.4</v>
      </c>
      <c r="N103" s="62">
        <f t="shared" si="21"/>
        <v>1.1400000000000001</v>
      </c>
      <c r="O103" s="44">
        <v>159</v>
      </c>
      <c r="P103" s="47">
        <f t="shared" si="22"/>
        <v>0.79500000000000004</v>
      </c>
      <c r="Q103" s="23">
        <v>0</v>
      </c>
      <c r="R103" s="23">
        <v>0</v>
      </c>
      <c r="S103" s="23">
        <v>4</v>
      </c>
      <c r="T103" s="23">
        <v>88</v>
      </c>
      <c r="U103" s="23">
        <v>1</v>
      </c>
      <c r="V103" s="23">
        <v>7</v>
      </c>
      <c r="W103" s="48">
        <f t="shared" si="23"/>
        <v>89</v>
      </c>
      <c r="X103" s="48">
        <f t="shared" si="24"/>
        <v>11</v>
      </c>
      <c r="Y103" s="23"/>
      <c r="Z103" s="23"/>
      <c r="AA103" s="23"/>
      <c r="AB103" s="52"/>
      <c r="AC103" s="49">
        <f t="shared" si="25"/>
        <v>89</v>
      </c>
      <c r="AD103" s="50">
        <f t="shared" si="26"/>
        <v>0</v>
      </c>
      <c r="AE103" s="50" t="s">
        <v>205</v>
      </c>
      <c r="AF103" s="50" t="s">
        <v>205</v>
      </c>
      <c r="AG103" s="41">
        <v>45947</v>
      </c>
      <c r="AH103" s="43">
        <v>20.9</v>
      </c>
      <c r="AI103" s="51">
        <v>3.69</v>
      </c>
      <c r="AJ103" s="51">
        <v>4.6500000000000004</v>
      </c>
      <c r="AK103" s="51">
        <v>0.01</v>
      </c>
      <c r="AL103" s="52">
        <v>1.84</v>
      </c>
      <c r="AM103" s="52">
        <v>0</v>
      </c>
      <c r="AN103" s="52">
        <v>0</v>
      </c>
      <c r="AO103" s="52">
        <v>1019</v>
      </c>
      <c r="AP103" s="52">
        <v>892</v>
      </c>
    </row>
    <row r="104" spans="1:42" x14ac:dyDescent="0.4">
      <c r="A104" s="21" t="s">
        <v>400</v>
      </c>
      <c r="B104" s="60">
        <v>45946</v>
      </c>
      <c r="C104" s="60">
        <v>45947</v>
      </c>
      <c r="D104" s="23">
        <v>2</v>
      </c>
      <c r="E104" s="23" t="s">
        <v>200</v>
      </c>
      <c r="F104" s="42">
        <v>0.86799999999999999</v>
      </c>
      <c r="G104" s="23" t="s">
        <v>216</v>
      </c>
      <c r="H104" s="21" t="s">
        <v>251</v>
      </c>
      <c r="I104" s="23" t="s">
        <v>401</v>
      </c>
      <c r="J104" s="23">
        <v>20</v>
      </c>
      <c r="K104" s="23" t="s">
        <v>204</v>
      </c>
      <c r="L104" s="44">
        <v>144.5</v>
      </c>
      <c r="M104" s="44">
        <v>11.2</v>
      </c>
      <c r="N104" s="62">
        <f t="shared" si="21"/>
        <v>1.1199999999999999</v>
      </c>
      <c r="O104" s="44">
        <v>163</v>
      </c>
      <c r="P104" s="47">
        <f t="shared" si="22"/>
        <v>0.81499999999999995</v>
      </c>
      <c r="Q104" s="23">
        <v>0</v>
      </c>
      <c r="R104" s="23">
        <v>0</v>
      </c>
      <c r="S104" s="23">
        <v>0</v>
      </c>
      <c r="T104" s="23">
        <v>82</v>
      </c>
      <c r="U104" s="23">
        <v>7</v>
      </c>
      <c r="V104" s="23">
        <v>11</v>
      </c>
      <c r="W104" s="48">
        <f t="shared" si="23"/>
        <v>89</v>
      </c>
      <c r="X104" s="48">
        <f t="shared" si="24"/>
        <v>11</v>
      </c>
      <c r="Y104" s="23"/>
      <c r="Z104" s="23"/>
      <c r="AA104" s="23"/>
      <c r="AB104" s="52"/>
      <c r="AC104" s="49">
        <f t="shared" si="25"/>
        <v>89</v>
      </c>
      <c r="AD104" s="50">
        <f t="shared" si="26"/>
        <v>0</v>
      </c>
      <c r="AE104" s="50" t="s">
        <v>205</v>
      </c>
      <c r="AF104" s="50" t="s">
        <v>205</v>
      </c>
      <c r="AG104" s="41">
        <v>45947</v>
      </c>
      <c r="AH104" s="43">
        <v>20.399999999999999</v>
      </c>
      <c r="AI104" s="51">
        <v>3.66</v>
      </c>
      <c r="AJ104" s="51">
        <v>4.5</v>
      </c>
      <c r="AK104" s="51">
        <v>0.01</v>
      </c>
      <c r="AL104" s="52">
        <v>1.95</v>
      </c>
      <c r="AM104" s="52">
        <v>0</v>
      </c>
      <c r="AN104" s="52">
        <v>0</v>
      </c>
      <c r="AO104" s="52">
        <v>1076</v>
      </c>
      <c r="AP104" s="52">
        <v>825</v>
      </c>
    </row>
    <row r="105" spans="1:42" x14ac:dyDescent="0.4">
      <c r="A105" s="21" t="s">
        <v>402</v>
      </c>
      <c r="B105" s="60">
        <v>45946</v>
      </c>
      <c r="C105" s="60">
        <v>45947</v>
      </c>
      <c r="D105" s="23">
        <v>1</v>
      </c>
      <c r="E105" s="23" t="s">
        <v>200</v>
      </c>
      <c r="F105" s="42">
        <v>0.441</v>
      </c>
      <c r="G105" s="23" t="s">
        <v>216</v>
      </c>
      <c r="H105" s="21" t="s">
        <v>251</v>
      </c>
      <c r="I105" s="23" t="s">
        <v>403</v>
      </c>
      <c r="J105" s="23">
        <v>19</v>
      </c>
      <c r="K105" s="23" t="s">
        <v>204</v>
      </c>
      <c r="L105" s="44">
        <v>138.25</v>
      </c>
      <c r="M105" s="44">
        <v>12</v>
      </c>
      <c r="N105" s="62">
        <f t="shared" si="21"/>
        <v>1.2</v>
      </c>
      <c r="O105" s="44">
        <v>187</v>
      </c>
      <c r="P105" s="47">
        <f t="shared" si="22"/>
        <v>0.93500000000000005</v>
      </c>
      <c r="Q105" s="23">
        <v>0</v>
      </c>
      <c r="R105" s="23">
        <v>0</v>
      </c>
      <c r="S105" s="23">
        <v>0</v>
      </c>
      <c r="T105" s="23">
        <v>80</v>
      </c>
      <c r="U105" s="23">
        <v>6</v>
      </c>
      <c r="V105" s="23">
        <v>14</v>
      </c>
      <c r="W105" s="48">
        <f t="shared" si="23"/>
        <v>86</v>
      </c>
      <c r="X105" s="48">
        <f t="shared" si="24"/>
        <v>14</v>
      </c>
      <c r="Y105" s="23"/>
      <c r="Z105" s="23"/>
      <c r="AA105" s="23"/>
      <c r="AB105" s="52"/>
      <c r="AC105" s="49">
        <f t="shared" si="25"/>
        <v>86</v>
      </c>
      <c r="AD105" s="50">
        <f t="shared" si="26"/>
        <v>0</v>
      </c>
      <c r="AE105" s="50" t="s">
        <v>205</v>
      </c>
      <c r="AF105" s="50" t="s">
        <v>205</v>
      </c>
      <c r="AG105" s="41">
        <v>45947</v>
      </c>
      <c r="AH105" s="43">
        <v>21.1</v>
      </c>
      <c r="AI105" s="51">
        <v>3.76</v>
      </c>
      <c r="AJ105" s="51">
        <v>4.3499999999999996</v>
      </c>
      <c r="AK105" s="51">
        <v>0.01</v>
      </c>
      <c r="AL105" s="52">
        <v>1.82</v>
      </c>
      <c r="AM105" s="52">
        <v>0</v>
      </c>
      <c r="AN105" s="52">
        <v>0</v>
      </c>
      <c r="AO105" s="52">
        <v>1006</v>
      </c>
      <c r="AP105" s="52">
        <v>807</v>
      </c>
    </row>
    <row r="106" spans="1:42" x14ac:dyDescent="0.4">
      <c r="A106" s="21" t="s">
        <v>404</v>
      </c>
      <c r="B106" s="60">
        <v>45946</v>
      </c>
      <c r="C106" s="60">
        <v>45947</v>
      </c>
      <c r="D106" s="23">
        <v>31</v>
      </c>
      <c r="E106" s="23" t="s">
        <v>200</v>
      </c>
      <c r="F106" s="42">
        <v>14.593999999999999</v>
      </c>
      <c r="G106" s="23" t="s">
        <v>216</v>
      </c>
      <c r="H106" s="23" t="s">
        <v>254</v>
      </c>
      <c r="I106" s="23" t="s">
        <v>255</v>
      </c>
      <c r="J106" s="23">
        <v>11</v>
      </c>
      <c r="K106" s="23" t="s">
        <v>204</v>
      </c>
      <c r="L106" s="44">
        <v>171.75</v>
      </c>
      <c r="M106" s="44">
        <v>12.5</v>
      </c>
      <c r="N106" s="62">
        <f t="shared" si="21"/>
        <v>1.25</v>
      </c>
      <c r="O106" s="44">
        <v>260</v>
      </c>
      <c r="P106" s="47">
        <f t="shared" si="22"/>
        <v>1.3</v>
      </c>
      <c r="Q106" s="23">
        <v>0</v>
      </c>
      <c r="R106" s="23">
        <v>0</v>
      </c>
      <c r="S106" s="23">
        <v>0</v>
      </c>
      <c r="T106" s="23">
        <v>89</v>
      </c>
      <c r="U106" s="23">
        <v>0</v>
      </c>
      <c r="V106" s="23">
        <v>11</v>
      </c>
      <c r="W106" s="48">
        <f t="shared" si="23"/>
        <v>89</v>
      </c>
      <c r="X106" s="48">
        <f t="shared" si="24"/>
        <v>11</v>
      </c>
      <c r="Y106" s="23"/>
      <c r="Z106" s="23"/>
      <c r="AA106" s="23"/>
      <c r="AB106" s="52"/>
      <c r="AC106" s="49">
        <f t="shared" si="25"/>
        <v>89</v>
      </c>
      <c r="AD106" s="50">
        <f t="shared" si="26"/>
        <v>0</v>
      </c>
      <c r="AE106" s="50" t="s">
        <v>205</v>
      </c>
      <c r="AF106" s="50" t="s">
        <v>205</v>
      </c>
      <c r="AG106" s="41">
        <v>45947</v>
      </c>
      <c r="AH106" s="43">
        <v>22.9</v>
      </c>
      <c r="AI106" s="51">
        <v>3.54</v>
      </c>
      <c r="AJ106" s="51">
        <v>6.15</v>
      </c>
      <c r="AK106" s="51">
        <v>0.2</v>
      </c>
      <c r="AL106" s="52">
        <v>2.8</v>
      </c>
      <c r="AM106" s="52">
        <v>0</v>
      </c>
      <c r="AN106" s="52">
        <v>0</v>
      </c>
      <c r="AO106" s="52">
        <v>1438</v>
      </c>
      <c r="AP106" s="52">
        <v>787</v>
      </c>
    </row>
    <row r="107" spans="1:42" x14ac:dyDescent="0.4">
      <c r="A107" s="21" t="s">
        <v>405</v>
      </c>
      <c r="B107" s="60">
        <v>45947</v>
      </c>
      <c r="C107" s="60">
        <v>45948</v>
      </c>
      <c r="D107" s="23">
        <v>21</v>
      </c>
      <c r="E107" s="23" t="s">
        <v>200</v>
      </c>
      <c r="F107" s="42">
        <v>6.8135000000000003</v>
      </c>
      <c r="G107" s="23" t="s">
        <v>229</v>
      </c>
      <c r="H107" s="23" t="s">
        <v>329</v>
      </c>
      <c r="I107" s="23" t="s">
        <v>406</v>
      </c>
      <c r="J107" s="23">
        <v>12</v>
      </c>
      <c r="K107" s="23" t="s">
        <v>204</v>
      </c>
      <c r="L107" s="44">
        <v>151.25</v>
      </c>
      <c r="M107" s="44">
        <v>10.85</v>
      </c>
      <c r="N107" s="62">
        <f t="shared" ref="N107:N121" si="27">M107/10</f>
        <v>1.085</v>
      </c>
      <c r="O107" s="44">
        <v>166</v>
      </c>
      <c r="P107" s="47">
        <f t="shared" si="22"/>
        <v>0.83</v>
      </c>
      <c r="Q107" s="23">
        <v>0</v>
      </c>
      <c r="R107" s="23">
        <v>0</v>
      </c>
      <c r="S107" s="23">
        <v>0</v>
      </c>
      <c r="T107" s="23">
        <v>149</v>
      </c>
      <c r="U107" s="23">
        <v>1</v>
      </c>
      <c r="V107" s="23">
        <v>0</v>
      </c>
      <c r="W107" s="48">
        <f t="shared" si="23"/>
        <v>150</v>
      </c>
      <c r="X107" s="48">
        <f t="shared" si="24"/>
        <v>0</v>
      </c>
      <c r="Y107" s="23"/>
      <c r="Z107" s="23"/>
      <c r="AA107" s="23"/>
      <c r="AB107" s="52"/>
      <c r="AC107" s="49">
        <f t="shared" si="25"/>
        <v>100</v>
      </c>
      <c r="AD107" s="50">
        <f t="shared" si="26"/>
        <v>0</v>
      </c>
      <c r="AE107" s="50" t="s">
        <v>205</v>
      </c>
      <c r="AF107" s="50" t="s">
        <v>205</v>
      </c>
      <c r="AG107" s="41">
        <v>45947</v>
      </c>
      <c r="AH107" s="43">
        <v>21.2</v>
      </c>
      <c r="AI107" s="51">
        <v>3.66</v>
      </c>
      <c r="AJ107" s="51">
        <v>4.6500000000000004</v>
      </c>
      <c r="AK107" s="51">
        <v>0</v>
      </c>
      <c r="AL107" s="52">
        <v>2.64</v>
      </c>
      <c r="AM107" s="52">
        <v>0</v>
      </c>
      <c r="AN107" s="52">
        <v>0</v>
      </c>
      <c r="AO107" s="52">
        <v>1649</v>
      </c>
      <c r="AP107" s="52">
        <v>1063</v>
      </c>
    </row>
    <row r="108" spans="1:42" x14ac:dyDescent="0.4">
      <c r="A108" s="21" t="s">
        <v>407</v>
      </c>
      <c r="B108" s="60">
        <v>45947</v>
      </c>
      <c r="C108" s="60">
        <v>45948</v>
      </c>
      <c r="D108" s="23">
        <v>12</v>
      </c>
      <c r="E108" s="23" t="s">
        <v>200</v>
      </c>
      <c r="F108" s="42">
        <v>3.9815</v>
      </c>
      <c r="G108" s="23" t="s">
        <v>229</v>
      </c>
      <c r="H108" s="23" t="s">
        <v>329</v>
      </c>
      <c r="I108" s="23" t="s">
        <v>408</v>
      </c>
      <c r="J108" s="23">
        <v>22</v>
      </c>
      <c r="K108" s="23" t="s">
        <v>204</v>
      </c>
      <c r="L108" s="44">
        <v>180.5</v>
      </c>
      <c r="M108" s="44">
        <v>11.95</v>
      </c>
      <c r="N108" s="62">
        <f t="shared" si="27"/>
        <v>1.1949999999999998</v>
      </c>
      <c r="O108" s="44">
        <v>193</v>
      </c>
      <c r="P108" s="47">
        <f t="shared" si="22"/>
        <v>0.96499999999999997</v>
      </c>
      <c r="Q108" s="23">
        <v>0</v>
      </c>
      <c r="R108" s="23">
        <v>0</v>
      </c>
      <c r="S108" s="23">
        <v>0</v>
      </c>
      <c r="T108" s="23">
        <v>100</v>
      </c>
      <c r="U108" s="23">
        <v>0</v>
      </c>
      <c r="V108" s="23">
        <v>0</v>
      </c>
      <c r="W108" s="48">
        <f t="shared" si="23"/>
        <v>100</v>
      </c>
      <c r="X108" s="48">
        <f t="shared" si="24"/>
        <v>0</v>
      </c>
      <c r="Y108" s="23"/>
      <c r="Z108" s="23"/>
      <c r="AA108" s="23"/>
      <c r="AB108" s="52"/>
      <c r="AC108" s="49">
        <f t="shared" si="25"/>
        <v>100</v>
      </c>
      <c r="AD108" s="50">
        <f t="shared" si="26"/>
        <v>0</v>
      </c>
      <c r="AE108" s="50" t="s">
        <v>205</v>
      </c>
      <c r="AF108" s="50" t="s">
        <v>205</v>
      </c>
      <c r="AG108" s="41">
        <v>45947</v>
      </c>
      <c r="AH108" s="43">
        <v>20</v>
      </c>
      <c r="AI108" s="51">
        <v>3.57</v>
      </c>
      <c r="AJ108" s="51">
        <v>5.55</v>
      </c>
      <c r="AK108" s="51">
        <v>0</v>
      </c>
      <c r="AL108" s="52">
        <v>3.02</v>
      </c>
      <c r="AM108" s="52">
        <v>0</v>
      </c>
      <c r="AN108" s="52">
        <v>0</v>
      </c>
      <c r="AO108" s="52">
        <v>1649</v>
      </c>
      <c r="AP108" s="52">
        <v>1063</v>
      </c>
    </row>
    <row r="109" spans="1:42" x14ac:dyDescent="0.4">
      <c r="A109" s="21" t="s">
        <v>409</v>
      </c>
      <c r="B109" s="60">
        <v>45947</v>
      </c>
      <c r="C109" s="60">
        <v>45948</v>
      </c>
      <c r="D109" s="23">
        <v>1</v>
      </c>
      <c r="E109" s="23" t="s">
        <v>200</v>
      </c>
      <c r="F109" s="42">
        <v>0.1615</v>
      </c>
      <c r="G109" s="23" t="s">
        <v>229</v>
      </c>
      <c r="H109" s="23" t="s">
        <v>329</v>
      </c>
      <c r="I109" s="23" t="s">
        <v>410</v>
      </c>
      <c r="J109" s="23">
        <v>22</v>
      </c>
      <c r="K109" s="23" t="s">
        <v>204</v>
      </c>
      <c r="L109" s="44">
        <v>166.5</v>
      </c>
      <c r="M109" s="44">
        <v>11.1</v>
      </c>
      <c r="N109" s="62">
        <f t="shared" si="27"/>
        <v>1.1099999999999999</v>
      </c>
      <c r="O109" s="44">
        <v>153</v>
      </c>
      <c r="P109" s="47">
        <f t="shared" si="22"/>
        <v>0.76500000000000001</v>
      </c>
      <c r="Q109" s="23">
        <v>0</v>
      </c>
      <c r="R109" s="23">
        <v>0</v>
      </c>
      <c r="S109" s="23">
        <v>0</v>
      </c>
      <c r="T109" s="23">
        <v>100</v>
      </c>
      <c r="U109" s="23">
        <v>0</v>
      </c>
      <c r="V109" s="23">
        <v>0</v>
      </c>
      <c r="W109" s="48">
        <f t="shared" si="23"/>
        <v>100</v>
      </c>
      <c r="X109" s="48">
        <f t="shared" si="24"/>
        <v>0</v>
      </c>
      <c r="Y109" s="23"/>
      <c r="Z109" s="23"/>
      <c r="AA109" s="23"/>
      <c r="AB109" s="52"/>
      <c r="AC109" s="49">
        <f t="shared" si="25"/>
        <v>100</v>
      </c>
      <c r="AD109" s="50">
        <f t="shared" si="26"/>
        <v>0</v>
      </c>
      <c r="AE109" s="50" t="s">
        <v>205</v>
      </c>
      <c r="AF109" s="50" t="s">
        <v>205</v>
      </c>
      <c r="AG109" s="41">
        <v>45947</v>
      </c>
      <c r="AH109" s="43">
        <v>20.3</v>
      </c>
      <c r="AI109" s="51">
        <v>3.57</v>
      </c>
      <c r="AJ109" s="51">
        <v>5.85</v>
      </c>
      <c r="AK109" s="51">
        <v>0.02</v>
      </c>
      <c r="AL109" s="52">
        <v>3.22</v>
      </c>
      <c r="AM109" s="52">
        <v>0</v>
      </c>
      <c r="AN109" s="52">
        <v>0.01</v>
      </c>
      <c r="AO109" s="52">
        <v>1649</v>
      </c>
      <c r="AP109" s="52">
        <v>1063</v>
      </c>
    </row>
    <row r="110" spans="1:42" x14ac:dyDescent="0.4">
      <c r="A110" s="21" t="s">
        <v>411</v>
      </c>
      <c r="B110" s="60">
        <v>45947</v>
      </c>
      <c r="C110" s="60">
        <v>45948</v>
      </c>
      <c r="D110" s="23">
        <v>2</v>
      </c>
      <c r="E110" s="23" t="s">
        <v>200</v>
      </c>
      <c r="F110" s="42">
        <v>0.57150000000000001</v>
      </c>
      <c r="G110" s="23" t="s">
        <v>229</v>
      </c>
      <c r="H110" s="23" t="s">
        <v>329</v>
      </c>
      <c r="I110" s="23" t="s">
        <v>412</v>
      </c>
      <c r="J110" s="23">
        <v>14</v>
      </c>
      <c r="K110" s="23" t="s">
        <v>204</v>
      </c>
      <c r="L110" s="44">
        <v>196.75</v>
      </c>
      <c r="M110" s="44">
        <v>11.43</v>
      </c>
      <c r="N110" s="62">
        <f t="shared" si="27"/>
        <v>1.143</v>
      </c>
      <c r="O110" s="44">
        <v>184</v>
      </c>
      <c r="P110" s="47">
        <f t="shared" si="22"/>
        <v>0.92</v>
      </c>
      <c r="Q110" s="23">
        <v>0</v>
      </c>
      <c r="R110" s="23">
        <v>0</v>
      </c>
      <c r="S110" s="23">
        <v>0</v>
      </c>
      <c r="T110" s="23">
        <v>100</v>
      </c>
      <c r="U110" s="23">
        <v>0</v>
      </c>
      <c r="V110" s="23">
        <v>0</v>
      </c>
      <c r="W110" s="48">
        <f t="shared" si="23"/>
        <v>100</v>
      </c>
      <c r="X110" s="48">
        <f t="shared" si="24"/>
        <v>0</v>
      </c>
      <c r="Y110" s="23"/>
      <c r="Z110" s="23"/>
      <c r="AA110" s="23"/>
      <c r="AB110" s="52"/>
      <c r="AC110" s="49">
        <f t="shared" si="25"/>
        <v>100</v>
      </c>
      <c r="AD110" s="50">
        <f t="shared" si="26"/>
        <v>0</v>
      </c>
      <c r="AE110" s="50" t="s">
        <v>205</v>
      </c>
      <c r="AF110" s="50" t="s">
        <v>205</v>
      </c>
      <c r="AG110" s="41">
        <v>45947</v>
      </c>
      <c r="AH110" s="43">
        <v>20.399999999999999</v>
      </c>
      <c r="AI110" s="51">
        <v>3.58</v>
      </c>
      <c r="AJ110" s="51">
        <v>4.6500000000000004</v>
      </c>
      <c r="AK110" s="51">
        <v>0</v>
      </c>
      <c r="AL110" s="52">
        <v>2.0499999999999998</v>
      </c>
      <c r="AM110" s="52">
        <v>0</v>
      </c>
      <c r="AN110" s="52">
        <v>0</v>
      </c>
      <c r="AO110" s="52">
        <v>1282</v>
      </c>
      <c r="AP110" s="52">
        <v>1062</v>
      </c>
    </row>
    <row r="111" spans="1:42" x14ac:dyDescent="0.4">
      <c r="A111" s="21" t="s">
        <v>413</v>
      </c>
      <c r="B111" s="60">
        <v>45947</v>
      </c>
      <c r="C111" s="60">
        <v>45948</v>
      </c>
      <c r="D111" s="23">
        <v>3</v>
      </c>
      <c r="E111" s="23" t="s">
        <v>200</v>
      </c>
      <c r="F111" s="42">
        <v>0.64400000000000002</v>
      </c>
      <c r="G111" s="23" t="s">
        <v>229</v>
      </c>
      <c r="H111" s="23" t="s">
        <v>329</v>
      </c>
      <c r="I111" s="23" t="s">
        <v>414</v>
      </c>
      <c r="J111" s="23">
        <v>12</v>
      </c>
      <c r="K111" s="23" t="s">
        <v>204</v>
      </c>
      <c r="L111" s="44">
        <v>118</v>
      </c>
      <c r="M111" s="44">
        <v>11.16</v>
      </c>
      <c r="N111" s="45">
        <f t="shared" si="27"/>
        <v>1.1160000000000001</v>
      </c>
      <c r="O111" s="44">
        <v>157</v>
      </c>
      <c r="P111" s="47">
        <f t="shared" si="22"/>
        <v>0.78500000000000003</v>
      </c>
      <c r="Q111" s="23">
        <v>0</v>
      </c>
      <c r="R111" s="23">
        <v>0</v>
      </c>
      <c r="S111" s="23">
        <v>0</v>
      </c>
      <c r="T111" s="23">
        <v>98</v>
      </c>
      <c r="U111" s="23">
        <v>0</v>
      </c>
      <c r="V111" s="23">
        <v>2</v>
      </c>
      <c r="W111" s="48">
        <f t="shared" si="23"/>
        <v>98</v>
      </c>
      <c r="X111" s="48">
        <f t="shared" si="24"/>
        <v>2</v>
      </c>
      <c r="Y111" s="23"/>
      <c r="Z111" s="23"/>
      <c r="AA111" s="23"/>
      <c r="AB111" s="52"/>
      <c r="AC111" s="49">
        <f t="shared" si="25"/>
        <v>98</v>
      </c>
      <c r="AD111" s="50">
        <f t="shared" si="26"/>
        <v>0</v>
      </c>
      <c r="AE111" s="50" t="s">
        <v>205</v>
      </c>
      <c r="AF111" s="50" t="s">
        <v>205</v>
      </c>
      <c r="AG111" s="41">
        <v>45947</v>
      </c>
      <c r="AH111" s="43">
        <v>22.4</v>
      </c>
      <c r="AI111" s="51">
        <v>3.82</v>
      </c>
      <c r="AJ111" s="51">
        <v>3.75</v>
      </c>
      <c r="AK111" s="51">
        <v>0.03</v>
      </c>
      <c r="AL111" s="52">
        <v>1.37</v>
      </c>
      <c r="AM111" s="52">
        <v>0</v>
      </c>
      <c r="AN111" s="52">
        <v>0</v>
      </c>
      <c r="AO111" s="52">
        <v>1392</v>
      </c>
      <c r="AP111" s="52">
        <v>1177</v>
      </c>
    </row>
    <row r="112" spans="1:42" x14ac:dyDescent="0.4">
      <c r="A112" s="21" t="s">
        <v>415</v>
      </c>
      <c r="B112" s="60">
        <v>45947</v>
      </c>
      <c r="C112" s="60">
        <v>45948</v>
      </c>
      <c r="D112" s="23">
        <v>47</v>
      </c>
      <c r="E112" s="23" t="s">
        <v>200</v>
      </c>
      <c r="F112" s="42">
        <v>21.216000000000001</v>
      </c>
      <c r="G112" s="23" t="s">
        <v>216</v>
      </c>
      <c r="H112" s="21" t="s">
        <v>251</v>
      </c>
      <c r="I112" s="23" t="s">
        <v>397</v>
      </c>
      <c r="J112" s="23">
        <v>22</v>
      </c>
      <c r="K112" s="23" t="s">
        <v>204</v>
      </c>
      <c r="L112" s="44">
        <v>119</v>
      </c>
      <c r="M112" s="44">
        <v>11.61</v>
      </c>
      <c r="N112" s="45">
        <f t="shared" si="27"/>
        <v>1.161</v>
      </c>
      <c r="O112" s="44">
        <v>164</v>
      </c>
      <c r="P112" s="47">
        <f t="shared" si="22"/>
        <v>0.82</v>
      </c>
      <c r="Q112" s="23">
        <v>0</v>
      </c>
      <c r="R112" s="23">
        <v>0</v>
      </c>
      <c r="S112" s="23">
        <v>20</v>
      </c>
      <c r="T112" s="23">
        <v>220</v>
      </c>
      <c r="U112" s="23">
        <v>3</v>
      </c>
      <c r="V112" s="23">
        <v>17</v>
      </c>
      <c r="W112" s="48">
        <f t="shared" si="23"/>
        <v>223</v>
      </c>
      <c r="X112" s="48">
        <f t="shared" si="24"/>
        <v>37</v>
      </c>
      <c r="Y112" s="23"/>
      <c r="Z112" s="23"/>
      <c r="AA112" s="23"/>
      <c r="AB112" s="52"/>
      <c r="AC112" s="49">
        <f t="shared" si="25"/>
        <v>85.769230769230759</v>
      </c>
      <c r="AD112" s="50">
        <f t="shared" si="26"/>
        <v>0</v>
      </c>
      <c r="AE112" s="50" t="s">
        <v>205</v>
      </c>
      <c r="AF112" s="50" t="s">
        <v>205</v>
      </c>
      <c r="AG112" s="41">
        <v>45948</v>
      </c>
      <c r="AH112" s="43">
        <v>20.9</v>
      </c>
      <c r="AI112" s="51">
        <v>3.78</v>
      </c>
      <c r="AJ112" s="51">
        <v>4.95</v>
      </c>
      <c r="AK112" s="51">
        <v>0.32</v>
      </c>
      <c r="AL112" s="52">
        <v>1.25</v>
      </c>
      <c r="AM112" s="52">
        <v>0.02</v>
      </c>
      <c r="AN112" s="52">
        <v>0</v>
      </c>
      <c r="AO112" s="52">
        <v>1148</v>
      </c>
      <c r="AP112" s="52">
        <v>862</v>
      </c>
    </row>
    <row r="113" spans="1:42" x14ac:dyDescent="0.4">
      <c r="A113" s="21" t="s">
        <v>416</v>
      </c>
      <c r="B113" s="60">
        <v>45947</v>
      </c>
      <c r="C113" s="60">
        <v>45948</v>
      </c>
      <c r="D113" s="23">
        <v>1</v>
      </c>
      <c r="E113" s="23" t="s">
        <v>200</v>
      </c>
      <c r="F113" s="42">
        <v>0.44900000000000001</v>
      </c>
      <c r="G113" s="23" t="s">
        <v>216</v>
      </c>
      <c r="H113" s="21" t="s">
        <v>251</v>
      </c>
      <c r="I113" s="23" t="s">
        <v>403</v>
      </c>
      <c r="J113" s="23">
        <v>10</v>
      </c>
      <c r="K113" s="23" t="s">
        <v>204</v>
      </c>
      <c r="L113" s="44">
        <v>116.25</v>
      </c>
      <c r="M113" s="44">
        <v>11.13</v>
      </c>
      <c r="N113" s="45">
        <f t="shared" si="27"/>
        <v>1.113</v>
      </c>
      <c r="O113" s="46">
        <v>182</v>
      </c>
      <c r="P113" s="47">
        <f t="shared" si="22"/>
        <v>0.91</v>
      </c>
      <c r="Q113" s="23">
        <v>0</v>
      </c>
      <c r="R113" s="23">
        <v>0</v>
      </c>
      <c r="S113" s="23">
        <v>0</v>
      </c>
      <c r="T113" s="23">
        <v>96</v>
      </c>
      <c r="U113" s="23">
        <v>4</v>
      </c>
      <c r="V113" s="23">
        <v>0</v>
      </c>
      <c r="W113" s="48">
        <f t="shared" si="23"/>
        <v>100</v>
      </c>
      <c r="X113" s="48">
        <f t="shared" si="24"/>
        <v>0</v>
      </c>
      <c r="Y113" s="23"/>
      <c r="Z113" s="23"/>
      <c r="AA113" s="23"/>
      <c r="AB113" s="52"/>
      <c r="AC113" s="49">
        <f t="shared" si="25"/>
        <v>100</v>
      </c>
      <c r="AD113" s="50">
        <f t="shared" si="26"/>
        <v>0</v>
      </c>
      <c r="AE113" s="50" t="s">
        <v>205</v>
      </c>
      <c r="AF113" s="50" t="s">
        <v>205</v>
      </c>
      <c r="AG113" s="41">
        <v>45948</v>
      </c>
      <c r="AH113" s="43">
        <v>20.6</v>
      </c>
      <c r="AI113" s="51">
        <v>3.71</v>
      </c>
      <c r="AJ113" s="51">
        <v>5.25</v>
      </c>
      <c r="AK113" s="51">
        <v>0.22</v>
      </c>
      <c r="AL113" s="52">
        <v>2.4</v>
      </c>
      <c r="AM113" s="52">
        <v>0</v>
      </c>
      <c r="AN113" s="52" t="s">
        <v>218</v>
      </c>
      <c r="AO113" s="52">
        <v>1006</v>
      </c>
      <c r="AP113" s="52">
        <v>792</v>
      </c>
    </row>
    <row r="114" spans="1:42" x14ac:dyDescent="0.4">
      <c r="A114" s="21" t="s">
        <v>417</v>
      </c>
      <c r="B114" s="60">
        <v>45947</v>
      </c>
      <c r="C114" s="60">
        <v>45948</v>
      </c>
      <c r="D114" s="23">
        <v>2</v>
      </c>
      <c r="E114" s="23" t="s">
        <v>200</v>
      </c>
      <c r="F114" s="42">
        <v>0.89300000000000002</v>
      </c>
      <c r="G114" s="23" t="s">
        <v>216</v>
      </c>
      <c r="H114" s="21" t="s">
        <v>251</v>
      </c>
      <c r="I114" s="23" t="s">
        <v>418</v>
      </c>
      <c r="J114" s="23">
        <v>17</v>
      </c>
      <c r="K114" s="23" t="s">
        <v>204</v>
      </c>
      <c r="L114" s="44">
        <v>134.5</v>
      </c>
      <c r="M114" s="44">
        <v>12.46</v>
      </c>
      <c r="N114" s="45">
        <f t="shared" si="27"/>
        <v>1.246</v>
      </c>
      <c r="O114" s="46">
        <v>208</v>
      </c>
      <c r="P114" s="47">
        <f t="shared" si="22"/>
        <v>1.04</v>
      </c>
      <c r="Q114" s="23">
        <v>0</v>
      </c>
      <c r="R114" s="23">
        <v>0</v>
      </c>
      <c r="S114" s="23">
        <v>0</v>
      </c>
      <c r="T114" s="23">
        <v>100</v>
      </c>
      <c r="U114" s="23">
        <v>0</v>
      </c>
      <c r="V114" s="23">
        <v>0</v>
      </c>
      <c r="W114" s="48">
        <f t="shared" si="23"/>
        <v>100</v>
      </c>
      <c r="X114" s="48">
        <f t="shared" si="24"/>
        <v>0</v>
      </c>
      <c r="Y114" s="23"/>
      <c r="Z114" s="23"/>
      <c r="AA114" s="23"/>
      <c r="AB114" s="52"/>
      <c r="AC114" s="49">
        <f t="shared" si="25"/>
        <v>100</v>
      </c>
      <c r="AD114" s="50">
        <f t="shared" si="26"/>
        <v>0</v>
      </c>
      <c r="AE114" s="50" t="s">
        <v>205</v>
      </c>
      <c r="AF114" s="50" t="s">
        <v>205</v>
      </c>
      <c r="AG114" s="41">
        <v>45948</v>
      </c>
      <c r="AH114" s="43">
        <v>20.6</v>
      </c>
      <c r="AI114" s="51">
        <v>3.7</v>
      </c>
      <c r="AJ114" s="51">
        <v>5.0999999999999996</v>
      </c>
      <c r="AK114" s="51">
        <v>0.28000000000000003</v>
      </c>
      <c r="AL114" s="52">
        <v>2.5299999999999998</v>
      </c>
      <c r="AM114" s="52">
        <v>0.03</v>
      </c>
      <c r="AN114" s="52">
        <v>0.08</v>
      </c>
      <c r="AO114" s="52">
        <v>1085</v>
      </c>
      <c r="AP114" s="52">
        <v>859</v>
      </c>
    </row>
    <row r="115" spans="1:42" x14ac:dyDescent="0.4">
      <c r="A115" s="21" t="s">
        <v>419</v>
      </c>
      <c r="B115" s="41">
        <v>45952</v>
      </c>
      <c r="C115" s="41">
        <v>45953</v>
      </c>
      <c r="D115" s="23">
        <v>45</v>
      </c>
      <c r="E115" s="23" t="s">
        <v>200</v>
      </c>
      <c r="F115" s="55">
        <v>15.689</v>
      </c>
      <c r="G115" s="23" t="s">
        <v>239</v>
      </c>
      <c r="H115" s="21" t="s">
        <v>251</v>
      </c>
      <c r="I115" s="23" t="s">
        <v>420</v>
      </c>
      <c r="J115" s="23">
        <v>23</v>
      </c>
      <c r="K115" s="23" t="s">
        <v>204</v>
      </c>
      <c r="L115" s="44">
        <v>118.18</v>
      </c>
      <c r="M115" s="44">
        <v>11.1</v>
      </c>
      <c r="N115" s="45">
        <f t="shared" si="27"/>
        <v>1.1099999999999999</v>
      </c>
      <c r="O115" s="46">
        <v>173</v>
      </c>
      <c r="P115" s="47">
        <f t="shared" si="22"/>
        <v>0.86499999999999999</v>
      </c>
      <c r="Q115" s="23">
        <v>0</v>
      </c>
      <c r="R115" s="23">
        <v>0</v>
      </c>
      <c r="S115" s="23">
        <v>0</v>
      </c>
      <c r="T115" s="23">
        <v>241</v>
      </c>
      <c r="U115" s="23">
        <v>2</v>
      </c>
      <c r="V115" s="23">
        <v>7</v>
      </c>
      <c r="W115" s="48">
        <f t="shared" si="23"/>
        <v>243</v>
      </c>
      <c r="X115" s="48">
        <f t="shared" si="24"/>
        <v>7</v>
      </c>
      <c r="Y115" s="23"/>
      <c r="Z115" s="23"/>
      <c r="AA115" s="23"/>
      <c r="AB115" s="52"/>
      <c r="AC115" s="49">
        <f t="shared" si="25"/>
        <v>97.2</v>
      </c>
      <c r="AD115" s="50">
        <f t="shared" si="26"/>
        <v>0</v>
      </c>
      <c r="AE115" s="50" t="s">
        <v>205</v>
      </c>
      <c r="AF115" s="50" t="s">
        <v>205</v>
      </c>
      <c r="AG115" s="41">
        <v>45953</v>
      </c>
      <c r="AH115" s="43">
        <v>23.7</v>
      </c>
      <c r="AI115" s="23">
        <v>3.81</v>
      </c>
      <c r="AJ115" s="52">
        <v>3.9</v>
      </c>
      <c r="AK115" s="51">
        <v>0.03</v>
      </c>
      <c r="AL115" s="52">
        <v>1.94</v>
      </c>
      <c r="AM115" s="52">
        <v>0</v>
      </c>
      <c r="AN115" s="52">
        <v>0</v>
      </c>
      <c r="AO115" s="52">
        <v>1107</v>
      </c>
      <c r="AP115" s="52">
        <v>1099</v>
      </c>
    </row>
    <row r="116" spans="1:42" x14ac:dyDescent="0.4">
      <c r="A116" s="21" t="s">
        <v>421</v>
      </c>
      <c r="B116" s="41">
        <v>45953</v>
      </c>
      <c r="C116" s="41">
        <v>45954</v>
      </c>
      <c r="D116" s="23">
        <v>47</v>
      </c>
      <c r="E116" s="23" t="s">
        <v>200</v>
      </c>
      <c r="F116" s="59">
        <v>16.395</v>
      </c>
      <c r="G116" s="23" t="s">
        <v>239</v>
      </c>
      <c r="H116" s="21" t="s">
        <v>251</v>
      </c>
      <c r="I116" s="23" t="s">
        <v>420</v>
      </c>
      <c r="J116" s="23">
        <v>11</v>
      </c>
      <c r="K116" s="23" t="s">
        <v>204</v>
      </c>
      <c r="L116" s="44">
        <v>113.62</v>
      </c>
      <c r="M116" s="44">
        <v>13.6</v>
      </c>
      <c r="N116" s="45">
        <f t="shared" si="27"/>
        <v>1.3599999999999999</v>
      </c>
      <c r="O116" s="46">
        <v>237</v>
      </c>
      <c r="P116" s="47">
        <f t="shared" si="22"/>
        <v>1.1850000000000001</v>
      </c>
      <c r="Q116" s="23">
        <v>0</v>
      </c>
      <c r="R116" s="23">
        <v>0</v>
      </c>
      <c r="S116" s="23">
        <v>0</v>
      </c>
      <c r="T116" s="23">
        <v>244</v>
      </c>
      <c r="U116" s="23">
        <v>0</v>
      </c>
      <c r="V116" s="23">
        <v>6</v>
      </c>
      <c r="W116" s="48">
        <f t="shared" si="23"/>
        <v>244</v>
      </c>
      <c r="X116" s="48">
        <f t="shared" si="24"/>
        <v>6</v>
      </c>
      <c r="Y116" s="23"/>
      <c r="Z116" s="23"/>
      <c r="AA116" s="23"/>
      <c r="AB116" s="52"/>
      <c r="AC116" s="49">
        <f t="shared" si="25"/>
        <v>97.6</v>
      </c>
      <c r="AD116" s="50">
        <f t="shared" si="26"/>
        <v>0</v>
      </c>
      <c r="AE116" s="50" t="s">
        <v>205</v>
      </c>
      <c r="AF116" s="50" t="s">
        <v>205</v>
      </c>
      <c r="AG116" s="41">
        <v>45954</v>
      </c>
      <c r="AH116" s="43">
        <v>22.5</v>
      </c>
      <c r="AI116" s="23">
        <v>3.76</v>
      </c>
      <c r="AJ116" s="52">
        <v>4.05</v>
      </c>
      <c r="AK116" s="51">
        <v>0.03</v>
      </c>
      <c r="AL116" s="52">
        <v>2.34</v>
      </c>
      <c r="AM116" s="52">
        <v>0</v>
      </c>
      <c r="AN116" s="52">
        <v>0</v>
      </c>
      <c r="AO116" s="52">
        <v>1107</v>
      </c>
      <c r="AP116" s="52">
        <v>1067</v>
      </c>
    </row>
    <row r="117" spans="1:42" x14ac:dyDescent="0.4">
      <c r="A117" s="21" t="s">
        <v>422</v>
      </c>
      <c r="B117" s="41">
        <v>45965</v>
      </c>
      <c r="C117" s="41">
        <v>45966</v>
      </c>
      <c r="D117" s="23">
        <v>29</v>
      </c>
      <c r="E117" s="23" t="s">
        <v>200</v>
      </c>
      <c r="F117" s="53">
        <v>12.705</v>
      </c>
      <c r="G117" s="23" t="s">
        <v>216</v>
      </c>
      <c r="H117" s="21" t="s">
        <v>251</v>
      </c>
      <c r="I117" s="23" t="s">
        <v>257</v>
      </c>
      <c r="J117" s="23">
        <v>26</v>
      </c>
      <c r="K117" s="23" t="s">
        <v>204</v>
      </c>
      <c r="L117" s="44">
        <v>109.16</v>
      </c>
      <c r="M117" s="44">
        <v>10.92</v>
      </c>
      <c r="N117" s="45">
        <f t="shared" si="27"/>
        <v>1.0920000000000001</v>
      </c>
      <c r="O117" s="46">
        <v>148</v>
      </c>
      <c r="P117" s="47">
        <f t="shared" si="22"/>
        <v>0.74</v>
      </c>
      <c r="Q117" s="23">
        <v>0</v>
      </c>
      <c r="R117" s="23">
        <v>0</v>
      </c>
      <c r="S117" s="23">
        <v>0</v>
      </c>
      <c r="T117" s="23">
        <v>180</v>
      </c>
      <c r="U117" s="23">
        <v>8</v>
      </c>
      <c r="V117" s="23">
        <v>12</v>
      </c>
      <c r="W117" s="48">
        <f t="shared" si="23"/>
        <v>188</v>
      </c>
      <c r="X117" s="48">
        <f t="shared" si="24"/>
        <v>12</v>
      </c>
      <c r="Y117" s="23"/>
      <c r="Z117" s="23"/>
      <c r="AA117" s="23"/>
      <c r="AB117" s="52"/>
      <c r="AC117" s="49">
        <f t="shared" si="25"/>
        <v>94</v>
      </c>
      <c r="AD117" s="50">
        <f t="shared" si="26"/>
        <v>0</v>
      </c>
      <c r="AE117" s="50" t="s">
        <v>205</v>
      </c>
      <c r="AF117" s="50" t="s">
        <v>205</v>
      </c>
      <c r="AG117" s="41">
        <v>45966</v>
      </c>
      <c r="AH117" s="43">
        <v>24.8</v>
      </c>
      <c r="AI117" s="51">
        <v>3.86</v>
      </c>
      <c r="AJ117" s="52">
        <v>3.75</v>
      </c>
      <c r="AK117" s="51">
        <v>0.02</v>
      </c>
      <c r="AL117" s="52">
        <v>1.28</v>
      </c>
      <c r="AM117" s="52">
        <v>0.02</v>
      </c>
      <c r="AN117" s="52">
        <v>0.15</v>
      </c>
      <c r="AO117" s="52">
        <v>994</v>
      </c>
      <c r="AP117" s="52">
        <v>906</v>
      </c>
    </row>
    <row r="118" spans="1:42" x14ac:dyDescent="0.4">
      <c r="A118" s="21" t="s">
        <v>423</v>
      </c>
      <c r="B118" s="41">
        <v>45965</v>
      </c>
      <c r="C118" s="41">
        <v>45966</v>
      </c>
      <c r="D118" s="23">
        <v>13</v>
      </c>
      <c r="E118" s="23" t="s">
        <v>200</v>
      </c>
      <c r="F118" s="53">
        <v>5.75</v>
      </c>
      <c r="G118" s="23" t="s">
        <v>216</v>
      </c>
      <c r="H118" s="21" t="s">
        <v>251</v>
      </c>
      <c r="I118" s="23" t="s">
        <v>424</v>
      </c>
      <c r="J118" s="23">
        <v>28</v>
      </c>
      <c r="K118" s="23" t="s">
        <v>204</v>
      </c>
      <c r="L118" s="44">
        <v>108.5</v>
      </c>
      <c r="M118" s="44">
        <v>10.87</v>
      </c>
      <c r="N118" s="45">
        <f t="shared" si="27"/>
        <v>1.087</v>
      </c>
      <c r="O118" s="46">
        <v>175</v>
      </c>
      <c r="P118" s="47">
        <f t="shared" si="22"/>
        <v>0.875</v>
      </c>
      <c r="Q118" s="23">
        <v>0</v>
      </c>
      <c r="R118" s="23">
        <v>0</v>
      </c>
      <c r="S118" s="23">
        <v>0</v>
      </c>
      <c r="T118" s="23">
        <v>140</v>
      </c>
      <c r="U118" s="23">
        <v>4</v>
      </c>
      <c r="V118" s="23">
        <v>6</v>
      </c>
      <c r="W118" s="48">
        <f t="shared" si="23"/>
        <v>144</v>
      </c>
      <c r="X118" s="48">
        <f t="shared" si="24"/>
        <v>6</v>
      </c>
      <c r="Y118" s="23"/>
      <c r="Z118" s="23"/>
      <c r="AA118" s="23"/>
      <c r="AB118" s="52"/>
      <c r="AC118" s="49">
        <f t="shared" si="25"/>
        <v>96</v>
      </c>
      <c r="AD118" s="50">
        <f t="shared" si="26"/>
        <v>0</v>
      </c>
      <c r="AE118" s="50" t="s">
        <v>205</v>
      </c>
      <c r="AF118" s="50" t="s">
        <v>205</v>
      </c>
      <c r="AG118" s="41">
        <v>45966</v>
      </c>
      <c r="AH118" s="43">
        <v>25.3</v>
      </c>
      <c r="AI118" s="51">
        <v>3.96</v>
      </c>
      <c r="AJ118" s="52">
        <v>3.9</v>
      </c>
      <c r="AK118" s="51">
        <v>0.03</v>
      </c>
      <c r="AL118" s="52">
        <v>1.55</v>
      </c>
      <c r="AM118" s="52">
        <v>0.02</v>
      </c>
      <c r="AN118" s="52">
        <v>0.15</v>
      </c>
      <c r="AO118" s="52">
        <v>1109</v>
      </c>
      <c r="AP118" s="52">
        <v>1092</v>
      </c>
    </row>
    <row r="119" spans="1:42" x14ac:dyDescent="0.4">
      <c r="A119" s="21" t="s">
        <v>425</v>
      </c>
      <c r="B119" s="41">
        <v>45965</v>
      </c>
      <c r="C119" s="41">
        <v>45966</v>
      </c>
      <c r="D119" s="23">
        <v>3</v>
      </c>
      <c r="E119" s="23" t="s">
        <v>200</v>
      </c>
      <c r="F119" s="53">
        <v>1.1240000000000001</v>
      </c>
      <c r="G119" s="23" t="s">
        <v>216</v>
      </c>
      <c r="H119" s="21" t="s">
        <v>251</v>
      </c>
      <c r="I119" s="23" t="s">
        <v>426</v>
      </c>
      <c r="J119" s="23">
        <v>21</v>
      </c>
      <c r="K119" s="23" t="s">
        <v>204</v>
      </c>
      <c r="L119" s="44">
        <v>101</v>
      </c>
      <c r="M119" s="44">
        <v>10.4</v>
      </c>
      <c r="N119" s="45">
        <f t="shared" si="27"/>
        <v>1.04</v>
      </c>
      <c r="O119" s="46">
        <v>122</v>
      </c>
      <c r="P119" s="47">
        <f t="shared" si="22"/>
        <v>0.61</v>
      </c>
      <c r="Q119" s="23">
        <v>0</v>
      </c>
      <c r="R119" s="23">
        <v>0</v>
      </c>
      <c r="S119" s="23">
        <v>6</v>
      </c>
      <c r="T119" s="23">
        <v>84</v>
      </c>
      <c r="U119" s="23">
        <v>3</v>
      </c>
      <c r="V119" s="23">
        <v>7</v>
      </c>
      <c r="W119" s="48">
        <f t="shared" si="23"/>
        <v>87</v>
      </c>
      <c r="X119" s="48">
        <f t="shared" si="24"/>
        <v>13</v>
      </c>
      <c r="Y119" s="23"/>
      <c r="Z119" s="23"/>
      <c r="AA119" s="23"/>
      <c r="AB119" s="52"/>
      <c r="AC119" s="49">
        <f t="shared" si="25"/>
        <v>87</v>
      </c>
      <c r="AD119" s="50">
        <f t="shared" si="26"/>
        <v>0</v>
      </c>
      <c r="AE119" s="50" t="s">
        <v>205</v>
      </c>
      <c r="AF119" s="50" t="s">
        <v>205</v>
      </c>
      <c r="AG119" s="41">
        <v>45966</v>
      </c>
      <c r="AH119" s="43">
        <v>23.7</v>
      </c>
      <c r="AI119" s="51">
        <v>3.75</v>
      </c>
      <c r="AJ119" s="52">
        <v>3.75</v>
      </c>
      <c r="AK119" s="51">
        <v>0.02</v>
      </c>
      <c r="AL119" s="52">
        <v>1.36</v>
      </c>
      <c r="AM119" s="52">
        <v>0</v>
      </c>
      <c r="AN119" s="52">
        <v>0.02</v>
      </c>
      <c r="AO119" s="52">
        <v>1296</v>
      </c>
      <c r="AP119" s="52">
        <v>1176</v>
      </c>
    </row>
    <row r="120" spans="1:42" x14ac:dyDescent="0.4">
      <c r="A120" s="21" t="s">
        <v>427</v>
      </c>
      <c r="B120" s="41">
        <v>45968</v>
      </c>
      <c r="C120" s="41">
        <v>45968</v>
      </c>
      <c r="D120" s="23">
        <v>1</v>
      </c>
      <c r="E120" s="23" t="s">
        <v>200</v>
      </c>
      <c r="F120" s="42">
        <v>0.43059999999999998</v>
      </c>
      <c r="G120" s="23" t="s">
        <v>216</v>
      </c>
      <c r="H120" s="21" t="s">
        <v>251</v>
      </c>
      <c r="I120" s="23" t="s">
        <v>424</v>
      </c>
      <c r="J120" s="23">
        <v>23</v>
      </c>
      <c r="K120" s="23" t="s">
        <v>204</v>
      </c>
      <c r="L120" s="44">
        <v>113.75</v>
      </c>
      <c r="M120" s="44">
        <v>12.2</v>
      </c>
      <c r="N120" s="45">
        <f t="shared" si="27"/>
        <v>1.22</v>
      </c>
      <c r="O120" s="46">
        <v>165</v>
      </c>
      <c r="P120" s="47">
        <f t="shared" si="22"/>
        <v>0.82499999999999996</v>
      </c>
      <c r="Q120" s="23">
        <v>0</v>
      </c>
      <c r="R120" s="23">
        <v>0</v>
      </c>
      <c r="S120" s="23">
        <v>0</v>
      </c>
      <c r="T120" s="23">
        <v>96</v>
      </c>
      <c r="U120" s="23">
        <v>0</v>
      </c>
      <c r="V120" s="23">
        <v>4</v>
      </c>
      <c r="W120" s="48">
        <f t="shared" si="23"/>
        <v>96</v>
      </c>
      <c r="X120" s="48">
        <f t="shared" si="24"/>
        <v>4</v>
      </c>
      <c r="Y120" s="23"/>
      <c r="Z120" s="23"/>
      <c r="AA120" s="23"/>
      <c r="AB120" s="52"/>
      <c r="AC120" s="49">
        <f t="shared" si="25"/>
        <v>96</v>
      </c>
      <c r="AD120" s="50">
        <f t="shared" si="26"/>
        <v>0</v>
      </c>
      <c r="AE120" s="50" t="s">
        <v>205</v>
      </c>
      <c r="AF120" s="50" t="s">
        <v>205</v>
      </c>
      <c r="AG120" s="41">
        <v>45968</v>
      </c>
      <c r="AH120" s="43">
        <v>25</v>
      </c>
      <c r="AI120" s="51">
        <v>3.95</v>
      </c>
      <c r="AJ120" s="52">
        <v>4.5</v>
      </c>
      <c r="AK120" s="51">
        <v>0.04</v>
      </c>
      <c r="AL120" s="52">
        <v>2.4</v>
      </c>
      <c r="AM120" s="52">
        <v>0.02</v>
      </c>
      <c r="AN120" s="52">
        <v>0.71</v>
      </c>
      <c r="AO120" s="52">
        <v>1109</v>
      </c>
      <c r="AP120" s="52">
        <v>971</v>
      </c>
    </row>
    <row r="121" spans="1:42" x14ac:dyDescent="0.4">
      <c r="A121" s="21" t="s">
        <v>428</v>
      </c>
      <c r="B121" s="41">
        <v>45968</v>
      </c>
      <c r="C121" s="41">
        <v>45968</v>
      </c>
      <c r="D121" s="23">
        <v>2</v>
      </c>
      <c r="E121" s="23" t="s">
        <v>200</v>
      </c>
      <c r="F121" s="42">
        <v>0.86099999999999999</v>
      </c>
      <c r="G121" s="23" t="s">
        <v>216</v>
      </c>
      <c r="H121" s="21" t="s">
        <v>251</v>
      </c>
      <c r="I121" s="23" t="s">
        <v>429</v>
      </c>
      <c r="J121" s="23">
        <v>25</v>
      </c>
      <c r="K121" s="23" t="s">
        <v>204</v>
      </c>
      <c r="L121" s="44">
        <v>141.75</v>
      </c>
      <c r="M121" s="44">
        <v>13.5</v>
      </c>
      <c r="N121" s="45">
        <f t="shared" si="27"/>
        <v>1.35</v>
      </c>
      <c r="O121" s="46">
        <v>210</v>
      </c>
      <c r="P121" s="47">
        <f t="shared" si="22"/>
        <v>1.05</v>
      </c>
      <c r="Q121" s="23">
        <v>0</v>
      </c>
      <c r="R121" s="23">
        <v>0</v>
      </c>
      <c r="S121" s="23">
        <v>0</v>
      </c>
      <c r="T121" s="23">
        <v>95</v>
      </c>
      <c r="U121" s="23">
        <v>0</v>
      </c>
      <c r="V121" s="23">
        <v>5</v>
      </c>
      <c r="W121" s="48">
        <f t="shared" si="23"/>
        <v>95</v>
      </c>
      <c r="X121" s="48">
        <f t="shared" si="24"/>
        <v>5</v>
      </c>
      <c r="Y121" s="23"/>
      <c r="Z121" s="23"/>
      <c r="AA121" s="23"/>
      <c r="AB121" s="52"/>
      <c r="AC121" s="49">
        <f t="shared" si="25"/>
        <v>95</v>
      </c>
      <c r="AD121" s="50">
        <f t="shared" si="26"/>
        <v>0</v>
      </c>
      <c r="AE121" s="50" t="s">
        <v>205</v>
      </c>
      <c r="AF121" s="50" t="s">
        <v>205</v>
      </c>
      <c r="AG121" s="41">
        <v>45968</v>
      </c>
      <c r="AH121" s="43">
        <v>26.7</v>
      </c>
      <c r="AI121" s="51">
        <v>4.03</v>
      </c>
      <c r="AJ121" s="52">
        <v>3.75</v>
      </c>
      <c r="AK121" s="51">
        <v>0.01</v>
      </c>
      <c r="AL121" s="52">
        <v>1.25</v>
      </c>
      <c r="AM121" s="52">
        <v>0</v>
      </c>
      <c r="AN121" s="52">
        <v>6.3E-2</v>
      </c>
      <c r="AO121" s="52">
        <v>971</v>
      </c>
      <c r="AP121" s="52">
        <v>934</v>
      </c>
    </row>
    <row r="122" spans="1:42" x14ac:dyDescent="0.35">
      <c r="A122" s="23"/>
      <c r="B122" s="41"/>
      <c r="C122" s="41"/>
      <c r="D122" s="23"/>
      <c r="E122" s="23"/>
      <c r="F122" s="80" t="s">
        <v>430</v>
      </c>
      <c r="G122" s="23"/>
      <c r="H122" s="23"/>
      <c r="I122" s="23"/>
      <c r="L122" s="27"/>
      <c r="M122" s="27"/>
      <c r="N122" s="81"/>
      <c r="O122" s="82"/>
      <c r="P122" s="82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83"/>
      <c r="AC122" s="83"/>
      <c r="AD122" s="83"/>
      <c r="AE122" s="83"/>
      <c r="AF122" s="83"/>
      <c r="AG122" s="41"/>
      <c r="AH122" s="43"/>
      <c r="AI122" s="51"/>
      <c r="AJ122" s="83"/>
      <c r="AK122" s="51"/>
      <c r="AL122" s="83"/>
      <c r="AM122" s="83"/>
      <c r="AN122" s="83"/>
      <c r="AO122" s="83"/>
      <c r="AP122" s="83"/>
    </row>
    <row r="123" spans="1:42" x14ac:dyDescent="0.35">
      <c r="A123" s="23"/>
      <c r="B123" s="41"/>
      <c r="C123" s="41"/>
      <c r="D123" s="23"/>
      <c r="E123" s="23"/>
      <c r="F123" s="84">
        <f>SUM(F6:F121)</f>
        <v>859.0997000000001</v>
      </c>
      <c r="G123" s="23"/>
      <c r="H123" s="23"/>
      <c r="I123" s="23"/>
      <c r="L123" s="27"/>
      <c r="M123" s="27"/>
      <c r="N123" s="81"/>
      <c r="O123" s="82"/>
      <c r="P123" s="82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83"/>
      <c r="AC123" s="83"/>
      <c r="AD123" s="83"/>
      <c r="AE123" s="83"/>
      <c r="AF123" s="83"/>
      <c r="AG123" s="41"/>
      <c r="AH123" s="43"/>
    </row>
    <row r="124" spans="1:42" x14ac:dyDescent="0.35">
      <c r="A124" s="23"/>
      <c r="B124" s="41"/>
      <c r="C124" s="41"/>
      <c r="D124" s="23"/>
      <c r="E124" s="23"/>
      <c r="F124" s="85"/>
      <c r="G124" s="23"/>
      <c r="H124" s="23"/>
      <c r="I124" s="23"/>
      <c r="L124" s="27"/>
      <c r="M124" s="27"/>
      <c r="N124" s="81"/>
      <c r="O124" s="82"/>
      <c r="P124" s="82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83"/>
      <c r="AC124" s="83"/>
      <c r="AD124" s="83"/>
      <c r="AE124" s="83"/>
      <c r="AF124" s="83"/>
      <c r="AG124" s="41"/>
      <c r="AH124" s="43"/>
    </row>
    <row r="125" spans="1:42" x14ac:dyDescent="0.35">
      <c r="A125" s="23"/>
      <c r="B125" s="41"/>
      <c r="C125" s="41"/>
      <c r="D125" s="23"/>
      <c r="E125" s="23"/>
      <c r="F125" s="85"/>
      <c r="G125" s="23"/>
      <c r="H125" s="23"/>
      <c r="I125" s="23"/>
      <c r="L125" s="27"/>
      <c r="M125" s="27"/>
      <c r="N125" s="81"/>
      <c r="O125" s="82"/>
      <c r="P125" s="82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83"/>
      <c r="AC125" s="83"/>
      <c r="AD125" s="83"/>
      <c r="AE125" s="83"/>
      <c r="AF125" s="83"/>
      <c r="AG125" s="41"/>
      <c r="AH125" s="43"/>
    </row>
    <row r="126" spans="1:42" x14ac:dyDescent="0.35">
      <c r="A126" s="23"/>
      <c r="B126" s="41"/>
      <c r="C126" s="41"/>
      <c r="D126" s="23"/>
      <c r="E126" s="23"/>
      <c r="F126" s="85"/>
      <c r="G126" s="23"/>
      <c r="H126" s="23"/>
      <c r="I126" s="23"/>
      <c r="L126" s="27"/>
      <c r="M126" s="27"/>
      <c r="N126" s="81"/>
      <c r="O126" s="82"/>
      <c r="P126" s="82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83"/>
      <c r="AC126" s="83"/>
      <c r="AD126" s="83"/>
      <c r="AE126" s="83"/>
      <c r="AF126" s="83"/>
      <c r="AG126" s="41"/>
      <c r="AH126" s="43"/>
    </row>
    <row r="127" spans="1:42" x14ac:dyDescent="0.4">
      <c r="A127" s="23"/>
      <c r="B127" s="60"/>
      <c r="C127" s="60"/>
      <c r="I127" s="23"/>
      <c r="AG127" s="41"/>
      <c r="AH127" s="43"/>
    </row>
    <row r="128" spans="1:42" x14ac:dyDescent="0.4">
      <c r="A128" s="23"/>
      <c r="I128" s="23"/>
      <c r="AH128" s="43"/>
    </row>
    <row r="129" spans="1:34" x14ac:dyDescent="0.4">
      <c r="A129" s="23"/>
      <c r="I129" s="23"/>
      <c r="AH129" s="43"/>
    </row>
    <row r="130" spans="1:34" x14ac:dyDescent="0.4">
      <c r="F130" s="85"/>
      <c r="AH130" s="43"/>
    </row>
    <row r="131" spans="1:34" x14ac:dyDescent="0.4">
      <c r="AH131" s="43"/>
    </row>
    <row r="132" spans="1:34" x14ac:dyDescent="0.4">
      <c r="AH132" s="43"/>
    </row>
    <row r="133" spans="1:34" x14ac:dyDescent="0.4">
      <c r="AH133" s="43"/>
    </row>
    <row r="134" spans="1:34" x14ac:dyDescent="0.4">
      <c r="AH134" s="43"/>
    </row>
    <row r="135" spans="1:34" x14ac:dyDescent="0.4">
      <c r="AH135" s="43"/>
    </row>
    <row r="136" spans="1:34" x14ac:dyDescent="0.4">
      <c r="AH136" s="43"/>
    </row>
    <row r="137" spans="1:34" x14ac:dyDescent="0.4">
      <c r="AH137" s="43"/>
    </row>
    <row r="138" spans="1:34" x14ac:dyDescent="0.4">
      <c r="AH138" s="43"/>
    </row>
    <row r="139" spans="1:34" x14ac:dyDescent="0.4">
      <c r="AH139" s="43"/>
    </row>
    <row r="140" spans="1:34" x14ac:dyDescent="0.4">
      <c r="AH140" s="43"/>
    </row>
    <row r="141" spans="1:34" x14ac:dyDescent="0.4">
      <c r="AH141" s="43"/>
    </row>
    <row r="142" spans="1:34" x14ac:dyDescent="0.4">
      <c r="AH142" s="43"/>
    </row>
    <row r="143" spans="1:34" x14ac:dyDescent="0.4">
      <c r="AH143" s="43"/>
    </row>
    <row r="144" spans="1:34" x14ac:dyDescent="0.4">
      <c r="AH144" s="43"/>
    </row>
    <row r="145" spans="34:34" x14ac:dyDescent="0.4">
      <c r="AH145" s="43"/>
    </row>
    <row r="146" spans="34:34" x14ac:dyDescent="0.4">
      <c r="AH146" s="43"/>
    </row>
    <row r="147" spans="34:34" x14ac:dyDescent="0.4">
      <c r="AH147" s="43"/>
    </row>
    <row r="148" spans="34:34" x14ac:dyDescent="0.4">
      <c r="AH148" s="43"/>
    </row>
    <row r="149" spans="34:34" x14ac:dyDescent="0.4">
      <c r="AH149" s="43"/>
    </row>
    <row r="150" spans="34:34" x14ac:dyDescent="0.4">
      <c r="AH150" s="43"/>
    </row>
    <row r="151" spans="34:34" x14ac:dyDescent="0.4">
      <c r="AH151" s="43"/>
    </row>
    <row r="152" spans="34:34" x14ac:dyDescent="0.4">
      <c r="AH152" s="43"/>
    </row>
    <row r="153" spans="34:34" x14ac:dyDescent="0.4">
      <c r="AH153" s="43"/>
    </row>
    <row r="154" spans="34:34" x14ac:dyDescent="0.4">
      <c r="AH154" s="43"/>
    </row>
  </sheetData>
  <mergeCells count="6">
    <mergeCell ref="A3:AA3"/>
    <mergeCell ref="AG3:AP4"/>
    <mergeCell ref="A4:M4"/>
    <mergeCell ref="Q4:X4"/>
    <mergeCell ref="Y4:AA4"/>
    <mergeCell ref="AF3:AF4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42BE9-D3E4-4005-914B-E86060EE0C7A}">
  <sheetPr>
    <pageSetUpPr fitToPage="1"/>
  </sheetPr>
  <dimension ref="A1:T133"/>
  <sheetViews>
    <sheetView workbookViewId="0">
      <selection activeCell="B3" sqref="B3"/>
    </sheetView>
  </sheetViews>
  <sheetFormatPr defaultColWidth="11.453125" defaultRowHeight="16" x14ac:dyDescent="0.4"/>
  <cols>
    <col min="1" max="2" width="11.54296875" style="3"/>
    <col min="3" max="6" width="16.7265625" style="3" customWidth="1"/>
    <col min="7" max="7" width="16.1796875" style="3" bestFit="1" customWidth="1"/>
    <col min="8" max="8" width="11.54296875" style="3"/>
    <col min="9" max="9" width="11.7265625" style="3" customWidth="1"/>
    <col min="10" max="10" width="17.26953125" style="3" bestFit="1" customWidth="1"/>
    <col min="11" max="16" width="11.54296875" style="3"/>
    <col min="17" max="17" width="20.26953125" style="3" customWidth="1"/>
    <col min="18" max="18" width="21.26953125" style="3" bestFit="1" customWidth="1"/>
    <col min="19" max="19" width="30.26953125" style="3" customWidth="1"/>
    <col min="20" max="20" width="11.54296875" style="3"/>
  </cols>
  <sheetData>
    <row r="1" spans="1:20" ht="26" x14ac:dyDescent="0.6">
      <c r="A1" s="19" t="s">
        <v>431</v>
      </c>
    </row>
    <row r="2" spans="1:20" x14ac:dyDescent="0.4">
      <c r="A2" s="87"/>
      <c r="B2" s="87"/>
      <c r="C2" s="387"/>
      <c r="D2" s="387"/>
      <c r="E2" s="387"/>
      <c r="F2" s="387"/>
      <c r="G2" s="387"/>
      <c r="H2" s="387"/>
      <c r="I2" s="387"/>
      <c r="J2" s="387"/>
      <c r="K2" s="387"/>
      <c r="L2" s="387"/>
      <c r="M2" s="387"/>
      <c r="N2" s="387"/>
      <c r="O2" s="387"/>
      <c r="P2" s="387"/>
      <c r="Q2" s="387"/>
      <c r="R2" s="387"/>
    </row>
    <row r="3" spans="1:20" ht="64" x14ac:dyDescent="0.35">
      <c r="A3" s="88" t="s">
        <v>432</v>
      </c>
      <c r="B3" s="88" t="s">
        <v>433</v>
      </c>
      <c r="C3" s="89" t="s">
        <v>434</v>
      </c>
      <c r="D3" s="89" t="s">
        <v>435</v>
      </c>
      <c r="E3" s="89" t="s">
        <v>436</v>
      </c>
      <c r="F3" s="89" t="s">
        <v>437</v>
      </c>
      <c r="G3" s="86" t="s">
        <v>438</v>
      </c>
      <c r="H3" s="88" t="s">
        <v>439</v>
      </c>
      <c r="I3" s="88" t="s">
        <v>440</v>
      </c>
      <c r="J3" s="88" t="s">
        <v>165</v>
      </c>
      <c r="K3" s="88" t="s">
        <v>191</v>
      </c>
      <c r="L3" s="88" t="s">
        <v>23</v>
      </c>
      <c r="M3" s="88" t="s">
        <v>441</v>
      </c>
      <c r="N3" s="88" t="s">
        <v>442</v>
      </c>
      <c r="O3" s="88" t="s">
        <v>443</v>
      </c>
      <c r="P3" s="88" t="s">
        <v>444</v>
      </c>
      <c r="Q3" s="86" t="s">
        <v>445</v>
      </c>
      <c r="R3" s="86" t="s">
        <v>446</v>
      </c>
      <c r="S3" s="90" t="s">
        <v>447</v>
      </c>
      <c r="T3" s="91" t="s">
        <v>448</v>
      </c>
    </row>
    <row r="4" spans="1:20" x14ac:dyDescent="0.4">
      <c r="A4" s="92" t="s">
        <v>449</v>
      </c>
      <c r="B4" s="92">
        <v>45877</v>
      </c>
      <c r="C4" s="92" t="s">
        <v>450</v>
      </c>
      <c r="D4" s="92"/>
      <c r="E4" s="92"/>
      <c r="F4" s="92"/>
      <c r="G4" s="93" t="s">
        <v>451</v>
      </c>
      <c r="H4" s="11" t="s">
        <v>452</v>
      </c>
      <c r="I4" s="92" t="s">
        <v>201</v>
      </c>
      <c r="J4" s="94" t="s">
        <v>202</v>
      </c>
      <c r="K4" s="95">
        <v>20.3</v>
      </c>
      <c r="L4" s="96">
        <v>3.18</v>
      </c>
      <c r="M4" s="96">
        <v>7.95</v>
      </c>
      <c r="N4" s="96">
        <v>0.28999999999999998</v>
      </c>
      <c r="O4" s="96">
        <v>3.84</v>
      </c>
      <c r="P4" s="96">
        <v>0.05</v>
      </c>
      <c r="Q4" s="97" t="s">
        <v>204</v>
      </c>
      <c r="R4" s="97" t="s">
        <v>204</v>
      </c>
      <c r="S4" s="122"/>
      <c r="T4" s="122"/>
    </row>
    <row r="5" spans="1:20" x14ac:dyDescent="0.4">
      <c r="A5" s="92" t="s">
        <v>453</v>
      </c>
      <c r="B5" s="92">
        <v>45881</v>
      </c>
      <c r="C5" s="92" t="s">
        <v>450</v>
      </c>
      <c r="D5" s="92"/>
      <c r="E5" s="92"/>
      <c r="F5" s="92"/>
      <c r="G5" s="93" t="s">
        <v>454</v>
      </c>
      <c r="H5" s="98" t="s">
        <v>452</v>
      </c>
      <c r="I5" s="92" t="s">
        <v>201</v>
      </c>
      <c r="J5" s="97" t="s">
        <v>202</v>
      </c>
      <c r="K5" s="95">
        <v>21.3</v>
      </c>
      <c r="L5" s="96">
        <v>3.24</v>
      </c>
      <c r="M5" s="96">
        <v>7.05</v>
      </c>
      <c r="N5" s="96">
        <v>0</v>
      </c>
      <c r="O5" s="96">
        <v>2.35</v>
      </c>
      <c r="P5" s="96">
        <v>0.05</v>
      </c>
      <c r="Q5" s="97" t="s">
        <v>204</v>
      </c>
      <c r="R5" s="97" t="s">
        <v>204</v>
      </c>
      <c r="S5" s="122"/>
      <c r="T5" s="122"/>
    </row>
    <row r="6" spans="1:20" x14ac:dyDescent="0.4">
      <c r="A6" s="92" t="s">
        <v>455</v>
      </c>
      <c r="B6" s="92">
        <v>45882</v>
      </c>
      <c r="C6" s="92" t="s">
        <v>450</v>
      </c>
      <c r="D6" s="92"/>
      <c r="E6" s="92"/>
      <c r="F6" s="92"/>
      <c r="G6" s="93" t="s">
        <v>454</v>
      </c>
      <c r="H6" s="11" t="s">
        <v>452</v>
      </c>
      <c r="I6" s="92" t="s">
        <v>201</v>
      </c>
      <c r="J6" s="97" t="s">
        <v>202</v>
      </c>
      <c r="K6" s="95">
        <v>21.2</v>
      </c>
      <c r="L6" s="96">
        <v>3.25</v>
      </c>
      <c r="M6" s="96">
        <v>6.9</v>
      </c>
      <c r="N6" s="96">
        <v>0</v>
      </c>
      <c r="O6" s="96">
        <v>2.5099999999999998</v>
      </c>
      <c r="P6" s="96">
        <v>0.03</v>
      </c>
      <c r="Q6" s="97" t="s">
        <v>204</v>
      </c>
      <c r="R6" s="97" t="s">
        <v>204</v>
      </c>
      <c r="S6" s="122"/>
      <c r="T6" s="122"/>
    </row>
    <row r="7" spans="1:20" x14ac:dyDescent="0.4">
      <c r="A7" s="92" t="s">
        <v>456</v>
      </c>
      <c r="B7" s="92">
        <v>45882</v>
      </c>
      <c r="C7" s="92" t="s">
        <v>457</v>
      </c>
      <c r="D7" s="92"/>
      <c r="E7" s="92"/>
      <c r="F7" s="92"/>
      <c r="G7" s="93" t="s">
        <v>458</v>
      </c>
      <c r="H7" s="11" t="s">
        <v>459</v>
      </c>
      <c r="I7" s="92" t="s">
        <v>201</v>
      </c>
      <c r="J7" s="97" t="s">
        <v>202</v>
      </c>
      <c r="K7" s="95">
        <v>21.8</v>
      </c>
      <c r="L7" s="96">
        <v>3.32</v>
      </c>
      <c r="M7" s="96">
        <v>7.05</v>
      </c>
      <c r="N7" s="96">
        <v>0</v>
      </c>
      <c r="O7" s="96">
        <v>2.48</v>
      </c>
      <c r="P7" s="96">
        <v>0.02</v>
      </c>
      <c r="Q7" s="97" t="s">
        <v>204</v>
      </c>
      <c r="R7" s="97" t="s">
        <v>204</v>
      </c>
      <c r="S7" s="122"/>
      <c r="T7" s="122"/>
    </row>
    <row r="8" spans="1:20" x14ac:dyDescent="0.4">
      <c r="A8" s="92" t="s">
        <v>460</v>
      </c>
      <c r="B8" s="92">
        <v>45883</v>
      </c>
      <c r="C8" s="92" t="s">
        <v>457</v>
      </c>
      <c r="D8" s="92" t="s">
        <v>461</v>
      </c>
      <c r="E8" s="92"/>
      <c r="F8" s="92"/>
      <c r="G8" s="93" t="s">
        <v>458</v>
      </c>
      <c r="H8" s="11" t="s">
        <v>459</v>
      </c>
      <c r="I8" s="92" t="s">
        <v>201</v>
      </c>
      <c r="J8" s="97" t="s">
        <v>202</v>
      </c>
      <c r="K8" s="95">
        <v>21.3</v>
      </c>
      <c r="L8" s="96">
        <v>3.37</v>
      </c>
      <c r="M8" s="96">
        <v>6.6</v>
      </c>
      <c r="N8" s="96">
        <v>0</v>
      </c>
      <c r="O8" s="96">
        <v>2.4</v>
      </c>
      <c r="P8" s="96">
        <v>0.01</v>
      </c>
      <c r="Q8" s="97" t="s">
        <v>204</v>
      </c>
      <c r="R8" s="97" t="s">
        <v>204</v>
      </c>
      <c r="S8" s="122"/>
      <c r="T8" s="122"/>
    </row>
    <row r="9" spans="1:20" x14ac:dyDescent="0.4">
      <c r="A9" s="92" t="s">
        <v>462</v>
      </c>
      <c r="B9" s="92">
        <v>45883</v>
      </c>
      <c r="C9" s="92" t="s">
        <v>461</v>
      </c>
      <c r="D9" s="92"/>
      <c r="E9" s="92"/>
      <c r="F9" s="92"/>
      <c r="G9" s="93" t="s">
        <v>463</v>
      </c>
      <c r="H9" s="11" t="s">
        <v>464</v>
      </c>
      <c r="I9" s="92" t="s">
        <v>201</v>
      </c>
      <c r="J9" s="97" t="s">
        <v>202</v>
      </c>
      <c r="K9" s="95">
        <v>21.8</v>
      </c>
      <c r="L9" s="96">
        <v>3.38</v>
      </c>
      <c r="M9" s="96">
        <v>5.85</v>
      </c>
      <c r="N9" s="96">
        <v>0.01</v>
      </c>
      <c r="O9" s="96">
        <v>2.29</v>
      </c>
      <c r="P9" s="96">
        <v>0</v>
      </c>
      <c r="Q9" s="97" t="s">
        <v>204</v>
      </c>
      <c r="R9" s="97" t="s">
        <v>204</v>
      </c>
      <c r="S9" s="122"/>
      <c r="T9" s="122"/>
    </row>
    <row r="10" spans="1:20" x14ac:dyDescent="0.4">
      <c r="A10" s="92" t="s">
        <v>465</v>
      </c>
      <c r="B10" s="92">
        <v>45885</v>
      </c>
      <c r="C10" s="92" t="s">
        <v>262</v>
      </c>
      <c r="D10" s="92"/>
      <c r="E10" s="92"/>
      <c r="F10" s="92"/>
      <c r="G10" s="93" t="s">
        <v>466</v>
      </c>
      <c r="H10" s="11" t="s">
        <v>467</v>
      </c>
      <c r="I10" s="92" t="s">
        <v>201</v>
      </c>
      <c r="J10" s="97" t="s">
        <v>202</v>
      </c>
      <c r="K10" s="95">
        <v>22.7</v>
      </c>
      <c r="L10" s="96">
        <v>3.61</v>
      </c>
      <c r="M10" s="96">
        <v>5.4</v>
      </c>
      <c r="N10" s="96">
        <v>0.02</v>
      </c>
      <c r="O10" s="96">
        <v>2.16</v>
      </c>
      <c r="P10" s="96">
        <v>0</v>
      </c>
      <c r="Q10" s="97" t="s">
        <v>204</v>
      </c>
      <c r="R10" s="97" t="s">
        <v>204</v>
      </c>
      <c r="S10" s="122"/>
      <c r="T10" s="122"/>
    </row>
    <row r="11" spans="1:20" x14ac:dyDescent="0.4">
      <c r="A11" s="92" t="s">
        <v>468</v>
      </c>
      <c r="B11" s="92">
        <v>45885</v>
      </c>
      <c r="C11" s="92" t="s">
        <v>457</v>
      </c>
      <c r="D11" s="92"/>
      <c r="E11" s="92"/>
      <c r="F11" s="92"/>
      <c r="G11" s="93" t="s">
        <v>469</v>
      </c>
      <c r="H11" s="11" t="s">
        <v>470</v>
      </c>
      <c r="I11" s="92" t="s">
        <v>201</v>
      </c>
      <c r="J11" s="97" t="s">
        <v>202</v>
      </c>
      <c r="K11" s="95">
        <v>22.5</v>
      </c>
      <c r="L11" s="96">
        <v>3.64</v>
      </c>
      <c r="M11" s="96">
        <v>5.25</v>
      </c>
      <c r="N11" s="96">
        <v>0.02</v>
      </c>
      <c r="O11" s="96">
        <v>1.83</v>
      </c>
      <c r="P11" s="96">
        <v>0.01</v>
      </c>
      <c r="Q11" s="97" t="s">
        <v>204</v>
      </c>
      <c r="R11" s="97" t="s">
        <v>204</v>
      </c>
      <c r="S11" s="122"/>
      <c r="T11" s="122"/>
    </row>
    <row r="12" spans="1:20" x14ac:dyDescent="0.4">
      <c r="A12" s="92" t="s">
        <v>471</v>
      </c>
      <c r="B12" s="92">
        <v>45885</v>
      </c>
      <c r="C12" s="92" t="s">
        <v>472</v>
      </c>
      <c r="D12" s="92" t="s">
        <v>473</v>
      </c>
      <c r="E12" s="92"/>
      <c r="F12" s="92"/>
      <c r="G12" s="93" t="s">
        <v>474</v>
      </c>
      <c r="H12" s="11" t="s">
        <v>475</v>
      </c>
      <c r="I12" s="92" t="s">
        <v>201</v>
      </c>
      <c r="J12" s="97" t="s">
        <v>202</v>
      </c>
      <c r="K12" s="95">
        <v>21.8</v>
      </c>
      <c r="L12" s="96">
        <v>3.4</v>
      </c>
      <c r="M12" s="96">
        <v>6.6</v>
      </c>
      <c r="N12" s="96">
        <v>0.01</v>
      </c>
      <c r="O12" s="96">
        <v>2.16</v>
      </c>
      <c r="P12" s="96">
        <v>0.01</v>
      </c>
      <c r="Q12" s="97" t="s">
        <v>204</v>
      </c>
      <c r="R12" s="97" t="s">
        <v>204</v>
      </c>
      <c r="S12" s="122"/>
      <c r="T12" s="122"/>
    </row>
    <row r="13" spans="1:20" x14ac:dyDescent="0.4">
      <c r="A13" s="92" t="s">
        <v>476</v>
      </c>
      <c r="B13" s="92">
        <v>45887</v>
      </c>
      <c r="C13" s="92" t="s">
        <v>477</v>
      </c>
      <c r="D13" s="92" t="s">
        <v>473</v>
      </c>
      <c r="E13" s="92" t="s">
        <v>478</v>
      </c>
      <c r="F13" s="92"/>
      <c r="G13" s="93" t="s">
        <v>479</v>
      </c>
      <c r="H13" s="11" t="s">
        <v>480</v>
      </c>
      <c r="I13" s="92" t="s">
        <v>201</v>
      </c>
      <c r="J13" s="97" t="s">
        <v>202</v>
      </c>
      <c r="K13" s="95">
        <v>21.6</v>
      </c>
      <c r="L13" s="96">
        <v>3.37</v>
      </c>
      <c r="M13" s="96">
        <v>6.15</v>
      </c>
      <c r="N13" s="96">
        <v>0.02</v>
      </c>
      <c r="O13" s="96">
        <v>1.97</v>
      </c>
      <c r="P13" s="96">
        <v>0.02</v>
      </c>
      <c r="Q13" s="97" t="s">
        <v>204</v>
      </c>
      <c r="R13" s="97" t="s">
        <v>204</v>
      </c>
      <c r="S13" s="122"/>
      <c r="T13" s="122"/>
    </row>
    <row r="14" spans="1:20" x14ac:dyDescent="0.4">
      <c r="A14" s="92" t="s">
        <v>481</v>
      </c>
      <c r="B14" s="92">
        <v>45888</v>
      </c>
      <c r="C14" s="92" t="s">
        <v>482</v>
      </c>
      <c r="D14" s="92" t="s">
        <v>483</v>
      </c>
      <c r="E14" s="92" t="s">
        <v>484</v>
      </c>
      <c r="F14" s="92"/>
      <c r="G14" s="93" t="s">
        <v>485</v>
      </c>
      <c r="H14" s="11" t="s">
        <v>459</v>
      </c>
      <c r="I14" s="92" t="s">
        <v>201</v>
      </c>
      <c r="J14" s="97" t="s">
        <v>202</v>
      </c>
      <c r="K14" s="95">
        <v>22.6</v>
      </c>
      <c r="L14" s="96">
        <v>3.45</v>
      </c>
      <c r="M14" s="96">
        <v>6.6</v>
      </c>
      <c r="N14" s="96">
        <v>0.04</v>
      </c>
      <c r="O14" s="96">
        <v>1.96</v>
      </c>
      <c r="P14" s="96">
        <v>0.01</v>
      </c>
      <c r="Q14" s="97" t="s">
        <v>204</v>
      </c>
      <c r="R14" s="97" t="s">
        <v>204</v>
      </c>
      <c r="S14" s="122"/>
      <c r="T14" s="122"/>
    </row>
    <row r="15" spans="1:20" x14ac:dyDescent="0.4">
      <c r="A15" s="92" t="s">
        <v>486</v>
      </c>
      <c r="B15" s="92">
        <v>45890</v>
      </c>
      <c r="C15" s="92" t="s">
        <v>487</v>
      </c>
      <c r="D15" s="92"/>
      <c r="E15" s="92"/>
      <c r="F15" s="92"/>
      <c r="G15" s="93" t="s">
        <v>488</v>
      </c>
      <c r="H15" s="11" t="s">
        <v>489</v>
      </c>
      <c r="I15" s="92" t="s">
        <v>201</v>
      </c>
      <c r="J15" s="97" t="s">
        <v>202</v>
      </c>
      <c r="K15" s="95">
        <v>22.8</v>
      </c>
      <c r="L15" s="96">
        <v>3.54</v>
      </c>
      <c r="M15" s="96">
        <v>5.7</v>
      </c>
      <c r="N15" s="96">
        <v>0.56000000000000005</v>
      </c>
      <c r="O15" s="96">
        <v>1.27</v>
      </c>
      <c r="P15" s="96">
        <v>0.05</v>
      </c>
      <c r="Q15" s="97" t="s">
        <v>204</v>
      </c>
      <c r="R15" s="97" t="s">
        <v>204</v>
      </c>
      <c r="S15" s="122"/>
      <c r="T15" s="122"/>
    </row>
    <row r="16" spans="1:20" x14ac:dyDescent="0.4">
      <c r="A16" s="92" t="s">
        <v>490</v>
      </c>
      <c r="B16" s="92">
        <v>45895</v>
      </c>
      <c r="C16" s="92" t="s">
        <v>210</v>
      </c>
      <c r="D16" s="92"/>
      <c r="E16" s="92"/>
      <c r="F16" s="92"/>
      <c r="G16" s="93" t="s">
        <v>491</v>
      </c>
      <c r="H16" s="11" t="s">
        <v>475</v>
      </c>
      <c r="I16" s="92" t="s">
        <v>208</v>
      </c>
      <c r="J16" s="94" t="s">
        <v>209</v>
      </c>
      <c r="K16" s="95">
        <v>22.7</v>
      </c>
      <c r="L16" s="96">
        <v>3.45</v>
      </c>
      <c r="M16" s="96">
        <v>5.85</v>
      </c>
      <c r="N16" s="96">
        <v>0.25</v>
      </c>
      <c r="O16" s="96">
        <v>2.8</v>
      </c>
      <c r="P16" s="96">
        <v>0.03</v>
      </c>
      <c r="Q16" s="97" t="s">
        <v>204</v>
      </c>
      <c r="R16" s="97" t="s">
        <v>204</v>
      </c>
      <c r="S16" s="122"/>
      <c r="T16" s="122"/>
    </row>
    <row r="17" spans="1:20" x14ac:dyDescent="0.4">
      <c r="A17" s="92" t="s">
        <v>492</v>
      </c>
      <c r="B17" s="92">
        <v>45896</v>
      </c>
      <c r="C17" s="92" t="s">
        <v>493</v>
      </c>
      <c r="D17" s="92"/>
      <c r="E17" s="92"/>
      <c r="F17" s="92"/>
      <c r="G17" s="93" t="s">
        <v>494</v>
      </c>
      <c r="H17" s="98" t="s">
        <v>495</v>
      </c>
      <c r="I17" s="92" t="s">
        <v>208</v>
      </c>
      <c r="J17" s="94" t="s">
        <v>209</v>
      </c>
      <c r="K17" s="95">
        <v>23.4</v>
      </c>
      <c r="L17" s="96">
        <v>3.44</v>
      </c>
      <c r="M17" s="96">
        <v>5.85</v>
      </c>
      <c r="N17" s="96">
        <v>0.24</v>
      </c>
      <c r="O17" s="96">
        <v>2.74</v>
      </c>
      <c r="P17" s="96">
        <v>0.03</v>
      </c>
      <c r="Q17" s="97" t="s">
        <v>204</v>
      </c>
      <c r="R17" s="97" t="s">
        <v>204</v>
      </c>
      <c r="S17" s="122"/>
      <c r="T17" s="122"/>
    </row>
    <row r="18" spans="1:20" x14ac:dyDescent="0.4">
      <c r="A18" s="92" t="s">
        <v>496</v>
      </c>
      <c r="B18" s="92">
        <v>45898</v>
      </c>
      <c r="C18" s="92" t="s">
        <v>262</v>
      </c>
      <c r="D18" s="92"/>
      <c r="E18" s="92"/>
      <c r="F18" s="92"/>
      <c r="G18" s="93" t="s">
        <v>497</v>
      </c>
      <c r="H18" s="11" t="s">
        <v>498</v>
      </c>
      <c r="I18" s="92" t="s">
        <v>201</v>
      </c>
      <c r="J18" s="97" t="s">
        <v>202</v>
      </c>
      <c r="K18" s="95">
        <v>25.2</v>
      </c>
      <c r="L18" s="96">
        <v>3.78</v>
      </c>
      <c r="M18" s="96">
        <v>4.5</v>
      </c>
      <c r="N18" s="96">
        <v>0.21</v>
      </c>
      <c r="O18" s="96">
        <v>1.47</v>
      </c>
      <c r="P18" s="96">
        <v>0.01</v>
      </c>
      <c r="Q18" s="97" t="s">
        <v>204</v>
      </c>
      <c r="R18" s="97" t="s">
        <v>204</v>
      </c>
      <c r="S18" s="122"/>
      <c r="T18" s="122"/>
    </row>
    <row r="19" spans="1:20" x14ac:dyDescent="0.4">
      <c r="A19" s="92" t="s">
        <v>499</v>
      </c>
      <c r="B19" s="92">
        <v>45898</v>
      </c>
      <c r="C19" s="92" t="s">
        <v>493</v>
      </c>
      <c r="D19" s="92"/>
      <c r="E19" s="92"/>
      <c r="F19" s="92"/>
      <c r="G19" s="93" t="s">
        <v>500</v>
      </c>
      <c r="H19" s="11" t="s">
        <v>501</v>
      </c>
      <c r="I19" s="99" t="s">
        <v>208</v>
      </c>
      <c r="J19" s="97" t="s">
        <v>209</v>
      </c>
      <c r="K19" s="95">
        <v>23.9</v>
      </c>
      <c r="L19" s="96">
        <v>3.46</v>
      </c>
      <c r="M19" s="96">
        <v>6</v>
      </c>
      <c r="N19" s="96">
        <v>0.96</v>
      </c>
      <c r="O19" s="96">
        <v>2.14</v>
      </c>
      <c r="P19" s="96">
        <v>7.0000000000000007E-2</v>
      </c>
      <c r="Q19" s="97" t="s">
        <v>204</v>
      </c>
      <c r="R19" s="97" t="s">
        <v>204</v>
      </c>
      <c r="S19" s="122"/>
      <c r="T19" s="122"/>
    </row>
    <row r="20" spans="1:20" x14ac:dyDescent="0.4">
      <c r="A20" s="92" t="s">
        <v>502</v>
      </c>
      <c r="B20" s="92">
        <v>45898</v>
      </c>
      <c r="C20" s="92" t="s">
        <v>493</v>
      </c>
      <c r="D20" s="92"/>
      <c r="E20" s="92"/>
      <c r="F20" s="92"/>
      <c r="G20" s="93" t="s">
        <v>503</v>
      </c>
      <c r="H20" s="11" t="s">
        <v>470</v>
      </c>
      <c r="I20" s="92" t="s">
        <v>208</v>
      </c>
      <c r="J20" s="97" t="s">
        <v>209</v>
      </c>
      <c r="K20" s="95">
        <v>23</v>
      </c>
      <c r="L20" s="96">
        <v>3.42</v>
      </c>
      <c r="M20" s="96">
        <v>6.6</v>
      </c>
      <c r="N20" s="96">
        <v>1.04</v>
      </c>
      <c r="O20" s="96">
        <v>2.2000000000000002</v>
      </c>
      <c r="P20" s="96">
        <v>0.14000000000000001</v>
      </c>
      <c r="Q20" s="97" t="s">
        <v>204</v>
      </c>
      <c r="R20" s="97" t="s">
        <v>204</v>
      </c>
      <c r="S20" s="122"/>
      <c r="T20" s="122"/>
    </row>
    <row r="21" spans="1:20" x14ac:dyDescent="0.4">
      <c r="A21" s="92" t="s">
        <v>504</v>
      </c>
      <c r="B21" s="92">
        <v>45899</v>
      </c>
      <c r="C21" s="92" t="s">
        <v>262</v>
      </c>
      <c r="D21" s="92"/>
      <c r="E21" s="92"/>
      <c r="F21" s="92"/>
      <c r="G21" s="93" t="s">
        <v>497</v>
      </c>
      <c r="H21" s="98" t="s">
        <v>505</v>
      </c>
      <c r="I21" s="92" t="s">
        <v>201</v>
      </c>
      <c r="J21" s="97" t="s">
        <v>202</v>
      </c>
      <c r="K21" s="95">
        <v>25.5</v>
      </c>
      <c r="L21" s="96">
        <v>3.64</v>
      </c>
      <c r="M21" s="96">
        <v>5.25</v>
      </c>
      <c r="N21" s="96">
        <v>0.03</v>
      </c>
      <c r="O21" s="96">
        <v>1.74</v>
      </c>
      <c r="P21" s="96">
        <v>0</v>
      </c>
      <c r="Q21" s="97" t="s">
        <v>204</v>
      </c>
      <c r="R21" s="97" t="s">
        <v>204</v>
      </c>
      <c r="S21" s="122"/>
      <c r="T21" s="122"/>
    </row>
    <row r="22" spans="1:20" x14ac:dyDescent="0.4">
      <c r="A22" s="92" t="s">
        <v>506</v>
      </c>
      <c r="B22" s="92">
        <v>45899</v>
      </c>
      <c r="C22" s="92" t="s">
        <v>262</v>
      </c>
      <c r="D22" s="92"/>
      <c r="E22" s="92"/>
      <c r="F22" s="92"/>
      <c r="G22" s="93" t="s">
        <v>507</v>
      </c>
      <c r="H22" s="11" t="s">
        <v>508</v>
      </c>
      <c r="I22" s="92" t="s">
        <v>201</v>
      </c>
      <c r="J22" s="94" t="s">
        <v>202</v>
      </c>
      <c r="K22" s="95">
        <v>24.2</v>
      </c>
      <c r="L22" s="96">
        <v>3.78</v>
      </c>
      <c r="M22" s="96">
        <v>4.3499999999999996</v>
      </c>
      <c r="N22" s="96">
        <v>0.15</v>
      </c>
      <c r="O22" s="96">
        <v>1.24</v>
      </c>
      <c r="P22" s="96">
        <v>0</v>
      </c>
      <c r="Q22" s="97" t="s">
        <v>204</v>
      </c>
      <c r="R22" s="97" t="s">
        <v>204</v>
      </c>
      <c r="S22" s="122"/>
      <c r="T22" s="122"/>
    </row>
    <row r="23" spans="1:20" x14ac:dyDescent="0.4">
      <c r="A23" s="92" t="s">
        <v>509</v>
      </c>
      <c r="B23" s="92">
        <v>45899</v>
      </c>
      <c r="C23" s="92" t="s">
        <v>237</v>
      </c>
      <c r="D23" s="92" t="s">
        <v>510</v>
      </c>
      <c r="E23" s="92"/>
      <c r="F23" s="92"/>
      <c r="G23" s="93" t="s">
        <v>511</v>
      </c>
      <c r="H23" s="98" t="s">
        <v>498</v>
      </c>
      <c r="I23" s="92" t="s">
        <v>201</v>
      </c>
      <c r="J23" s="94" t="s">
        <v>202</v>
      </c>
      <c r="K23" s="95">
        <v>23.2</v>
      </c>
      <c r="L23" s="96">
        <v>3.59</v>
      </c>
      <c r="M23" s="96">
        <v>5.4</v>
      </c>
      <c r="N23" s="96">
        <v>0.16</v>
      </c>
      <c r="O23" s="96">
        <v>1.28</v>
      </c>
      <c r="P23" s="96">
        <v>0</v>
      </c>
      <c r="Q23" s="97" t="s">
        <v>204</v>
      </c>
      <c r="R23" s="97" t="s">
        <v>204</v>
      </c>
      <c r="S23" s="122"/>
      <c r="T23" s="122"/>
    </row>
    <row r="24" spans="1:20" x14ac:dyDescent="0.4">
      <c r="A24" s="92" t="s">
        <v>512</v>
      </c>
      <c r="B24" s="92">
        <v>45903</v>
      </c>
      <c r="C24" s="92" t="s">
        <v>224</v>
      </c>
      <c r="D24" s="92"/>
      <c r="E24" s="92"/>
      <c r="F24" s="92"/>
      <c r="G24" s="93" t="s">
        <v>513</v>
      </c>
      <c r="H24" s="98" t="s">
        <v>508</v>
      </c>
      <c r="I24" s="92" t="s">
        <v>208</v>
      </c>
      <c r="J24" s="94" t="s">
        <v>213</v>
      </c>
      <c r="K24" s="95">
        <v>23.7</v>
      </c>
      <c r="L24" s="96">
        <v>3.63</v>
      </c>
      <c r="M24" s="96">
        <v>4.3499999999999996</v>
      </c>
      <c r="N24" s="96">
        <v>0.06</v>
      </c>
      <c r="O24" s="96">
        <v>2.15</v>
      </c>
      <c r="P24" s="96">
        <v>0</v>
      </c>
      <c r="Q24" s="94">
        <v>1480</v>
      </c>
      <c r="R24" s="94">
        <v>802</v>
      </c>
      <c r="S24" s="105" t="s">
        <v>514</v>
      </c>
      <c r="T24" s="122"/>
    </row>
    <row r="25" spans="1:20" x14ac:dyDescent="0.4">
      <c r="A25" s="92" t="s">
        <v>515</v>
      </c>
      <c r="B25" s="92">
        <v>45903</v>
      </c>
      <c r="C25" s="92" t="s">
        <v>224</v>
      </c>
      <c r="D25" s="92"/>
      <c r="E25" s="92"/>
      <c r="F25" s="92"/>
      <c r="G25" s="93" t="s">
        <v>516</v>
      </c>
      <c r="H25" s="11" t="s">
        <v>517</v>
      </c>
      <c r="I25" s="92" t="s">
        <v>208</v>
      </c>
      <c r="J25" s="97" t="s">
        <v>213</v>
      </c>
      <c r="K25" s="95">
        <v>23.5</v>
      </c>
      <c r="L25" s="96">
        <v>3.62</v>
      </c>
      <c r="M25" s="96">
        <v>4.3499999999999996</v>
      </c>
      <c r="N25" s="96">
        <v>0.06</v>
      </c>
      <c r="O25" s="96">
        <v>1.94</v>
      </c>
      <c r="P25" s="96">
        <v>0</v>
      </c>
      <c r="Q25" s="97">
        <v>1438</v>
      </c>
      <c r="R25" s="97">
        <v>787</v>
      </c>
      <c r="S25" s="105" t="s">
        <v>514</v>
      </c>
      <c r="T25" s="122"/>
    </row>
    <row r="26" spans="1:20" x14ac:dyDescent="0.4">
      <c r="A26" s="92" t="s">
        <v>518</v>
      </c>
      <c r="B26" s="92">
        <v>45909</v>
      </c>
      <c r="C26" s="92" t="s">
        <v>288</v>
      </c>
      <c r="D26" s="92"/>
      <c r="E26" s="92"/>
      <c r="F26" s="92"/>
      <c r="G26" s="93" t="s">
        <v>519</v>
      </c>
      <c r="H26" s="11" t="s">
        <v>495</v>
      </c>
      <c r="I26" s="92" t="s">
        <v>201</v>
      </c>
      <c r="J26" s="97" t="s">
        <v>251</v>
      </c>
      <c r="K26" s="95">
        <v>24.9</v>
      </c>
      <c r="L26" s="96">
        <v>3.63</v>
      </c>
      <c r="M26" s="96">
        <v>4.05</v>
      </c>
      <c r="N26" s="96">
        <v>0.02</v>
      </c>
      <c r="O26" s="96">
        <v>2.37</v>
      </c>
      <c r="P26" s="96">
        <v>0.02</v>
      </c>
      <c r="Q26" s="94">
        <v>2436</v>
      </c>
      <c r="R26" s="94">
        <v>911</v>
      </c>
      <c r="S26" s="105" t="s">
        <v>514</v>
      </c>
      <c r="T26" s="122"/>
    </row>
    <row r="27" spans="1:20" x14ac:dyDescent="0.4">
      <c r="A27" s="92" t="s">
        <v>520</v>
      </c>
      <c r="B27" s="92">
        <v>45910</v>
      </c>
      <c r="C27" s="92" t="s">
        <v>290</v>
      </c>
      <c r="D27" s="92"/>
      <c r="E27" s="92"/>
      <c r="F27" s="92"/>
      <c r="G27" s="93" t="s">
        <v>521</v>
      </c>
      <c r="H27" s="11" t="s">
        <v>522</v>
      </c>
      <c r="I27" s="92" t="s">
        <v>201</v>
      </c>
      <c r="J27" s="97" t="s">
        <v>251</v>
      </c>
      <c r="K27" s="95">
        <v>24.1</v>
      </c>
      <c r="L27" s="96">
        <v>3.58</v>
      </c>
      <c r="M27" s="96">
        <v>4.2</v>
      </c>
      <c r="N27" s="96">
        <v>0.02</v>
      </c>
      <c r="O27" s="96">
        <v>2.37</v>
      </c>
      <c r="P27" s="96">
        <v>0</v>
      </c>
      <c r="Q27" s="97">
        <v>2544</v>
      </c>
      <c r="R27" s="97">
        <v>892</v>
      </c>
      <c r="S27" s="105" t="s">
        <v>514</v>
      </c>
      <c r="T27" s="122"/>
    </row>
    <row r="28" spans="1:20" x14ac:dyDescent="0.4">
      <c r="A28" s="92" t="s">
        <v>523</v>
      </c>
      <c r="B28" s="92">
        <v>45911</v>
      </c>
      <c r="C28" s="92" t="s">
        <v>217</v>
      </c>
      <c r="D28" s="92" t="s">
        <v>246</v>
      </c>
      <c r="E28" s="92"/>
      <c r="F28" s="92"/>
      <c r="G28" s="93" t="s">
        <v>524</v>
      </c>
      <c r="H28" s="11" t="s">
        <v>525</v>
      </c>
      <c r="I28" s="92" t="s">
        <v>216</v>
      </c>
      <c r="J28" s="97" t="s">
        <v>202</v>
      </c>
      <c r="K28" s="95">
        <v>22.3</v>
      </c>
      <c r="L28" s="96">
        <v>3.71</v>
      </c>
      <c r="M28" s="96">
        <v>5.55</v>
      </c>
      <c r="N28" s="96">
        <v>1.6</v>
      </c>
      <c r="O28" s="96">
        <v>2.72</v>
      </c>
      <c r="P28" s="96">
        <v>0.3</v>
      </c>
      <c r="Q28" s="97" t="s">
        <v>204</v>
      </c>
      <c r="R28" s="97" t="s">
        <v>204</v>
      </c>
      <c r="S28" s="122"/>
      <c r="T28" s="122"/>
    </row>
    <row r="29" spans="1:20" x14ac:dyDescent="0.4">
      <c r="A29" s="92" t="s">
        <v>526</v>
      </c>
      <c r="B29" s="92">
        <v>45912</v>
      </c>
      <c r="C29" s="92" t="s">
        <v>292</v>
      </c>
      <c r="D29" s="92"/>
      <c r="E29" s="92"/>
      <c r="F29" s="92"/>
      <c r="G29" s="93" t="s">
        <v>527</v>
      </c>
      <c r="H29" s="11" t="s">
        <v>528</v>
      </c>
      <c r="I29" s="92" t="s">
        <v>201</v>
      </c>
      <c r="J29" s="97" t="s">
        <v>254</v>
      </c>
      <c r="K29" s="95">
        <v>21.5</v>
      </c>
      <c r="L29" s="96">
        <v>3.69</v>
      </c>
      <c r="M29" s="96">
        <v>3.6</v>
      </c>
      <c r="N29" s="96">
        <v>0.01</v>
      </c>
      <c r="O29" s="96">
        <v>0.9</v>
      </c>
      <c r="P29" s="96">
        <v>0.02</v>
      </c>
      <c r="Q29" s="97">
        <v>2359</v>
      </c>
      <c r="R29" s="97">
        <v>639</v>
      </c>
      <c r="S29" s="105" t="s">
        <v>529</v>
      </c>
      <c r="T29" s="122"/>
    </row>
    <row r="30" spans="1:20" x14ac:dyDescent="0.4">
      <c r="A30" s="92" t="s">
        <v>530</v>
      </c>
      <c r="B30" s="92">
        <v>45912</v>
      </c>
      <c r="C30" s="92" t="s">
        <v>531</v>
      </c>
      <c r="D30" s="92" t="s">
        <v>532</v>
      </c>
      <c r="E30" s="92" t="s">
        <v>533</v>
      </c>
      <c r="F30" s="92"/>
      <c r="G30" s="93" t="s">
        <v>534</v>
      </c>
      <c r="H30" s="98" t="s">
        <v>470</v>
      </c>
      <c r="I30" s="92" t="s">
        <v>206</v>
      </c>
      <c r="J30" s="97" t="s">
        <v>206</v>
      </c>
      <c r="K30" s="95">
        <v>10.199999999999999</v>
      </c>
      <c r="L30" s="96">
        <v>4.16</v>
      </c>
      <c r="M30" s="96">
        <v>3</v>
      </c>
      <c r="N30" s="96">
        <v>0.02</v>
      </c>
      <c r="O30" s="96">
        <v>2.2200000000000002</v>
      </c>
      <c r="P30" s="96">
        <v>0</v>
      </c>
      <c r="Q30" s="97" t="s">
        <v>204</v>
      </c>
      <c r="R30" s="97" t="s">
        <v>204</v>
      </c>
      <c r="S30" s="122"/>
      <c r="T30" s="122"/>
    </row>
    <row r="31" spans="1:20" x14ac:dyDescent="0.4">
      <c r="A31" s="92" t="s">
        <v>535</v>
      </c>
      <c r="B31" s="92">
        <v>45912</v>
      </c>
      <c r="C31" s="92" t="s">
        <v>532</v>
      </c>
      <c r="D31" s="92" t="s">
        <v>533</v>
      </c>
      <c r="E31" s="92"/>
      <c r="F31" s="92"/>
      <c r="G31" s="93" t="s">
        <v>536</v>
      </c>
      <c r="H31" s="98" t="s">
        <v>452</v>
      </c>
      <c r="I31" s="92" t="s">
        <v>216</v>
      </c>
      <c r="J31" s="97" t="s">
        <v>294</v>
      </c>
      <c r="K31" s="95">
        <v>21.8</v>
      </c>
      <c r="L31" s="96">
        <v>3.85</v>
      </c>
      <c r="M31" s="96">
        <v>4.8</v>
      </c>
      <c r="N31" s="96">
        <v>0.06</v>
      </c>
      <c r="O31" s="96">
        <v>2.89</v>
      </c>
      <c r="P31" s="96">
        <v>0</v>
      </c>
      <c r="Q31" s="97" t="s">
        <v>204</v>
      </c>
      <c r="R31" s="97" t="s">
        <v>204</v>
      </c>
      <c r="S31" s="122"/>
      <c r="T31" s="122"/>
    </row>
    <row r="32" spans="1:20" x14ac:dyDescent="0.4">
      <c r="A32" s="92" t="s">
        <v>537</v>
      </c>
      <c r="B32" s="92">
        <v>45912</v>
      </c>
      <c r="C32" s="92" t="s">
        <v>300</v>
      </c>
      <c r="D32" s="92" t="s">
        <v>214</v>
      </c>
      <c r="E32" s="92"/>
      <c r="F32" s="92"/>
      <c r="G32" s="93" t="s">
        <v>538</v>
      </c>
      <c r="H32" s="11" t="s">
        <v>459</v>
      </c>
      <c r="I32" s="92" t="s">
        <v>212</v>
      </c>
      <c r="J32" s="97" t="s">
        <v>299</v>
      </c>
      <c r="K32" s="95">
        <v>23.3</v>
      </c>
      <c r="L32" s="96">
        <v>3.61</v>
      </c>
      <c r="M32" s="96">
        <v>4.2</v>
      </c>
      <c r="N32" s="96">
        <v>0.73</v>
      </c>
      <c r="O32" s="96">
        <v>1.32</v>
      </c>
      <c r="P32" s="96">
        <v>0</v>
      </c>
      <c r="Q32" s="97">
        <v>1902</v>
      </c>
      <c r="R32" s="97">
        <v>1047</v>
      </c>
      <c r="S32" s="105" t="s">
        <v>514</v>
      </c>
      <c r="T32" s="122"/>
    </row>
    <row r="33" spans="1:20" x14ac:dyDescent="0.4">
      <c r="A33" s="92" t="s">
        <v>539</v>
      </c>
      <c r="B33" s="92">
        <v>45912</v>
      </c>
      <c r="C33" s="92" t="s">
        <v>300</v>
      </c>
      <c r="D33" s="92" t="s">
        <v>214</v>
      </c>
      <c r="E33" s="92"/>
      <c r="F33" s="92"/>
      <c r="G33" s="93" t="s">
        <v>540</v>
      </c>
      <c r="H33" s="11" t="s">
        <v>464</v>
      </c>
      <c r="I33" s="92" t="s">
        <v>212</v>
      </c>
      <c r="J33" s="97" t="s">
        <v>299</v>
      </c>
      <c r="K33" s="95">
        <v>24.6</v>
      </c>
      <c r="L33" s="96">
        <v>3.59</v>
      </c>
      <c r="M33" s="96">
        <v>5.25</v>
      </c>
      <c r="N33" s="96">
        <v>1.69</v>
      </c>
      <c r="O33" s="96">
        <v>1.04</v>
      </c>
      <c r="P33" s="96">
        <v>0.51</v>
      </c>
      <c r="Q33" s="97">
        <v>1885</v>
      </c>
      <c r="R33" s="97">
        <v>950</v>
      </c>
      <c r="S33" s="105" t="s">
        <v>514</v>
      </c>
      <c r="T33" s="122"/>
    </row>
    <row r="34" spans="1:20" x14ac:dyDescent="0.4">
      <c r="A34" s="92" t="s">
        <v>541</v>
      </c>
      <c r="B34" s="92">
        <v>45915</v>
      </c>
      <c r="C34" s="92" t="s">
        <v>302</v>
      </c>
      <c r="D34" s="92"/>
      <c r="E34" s="92"/>
      <c r="F34" s="92"/>
      <c r="G34" s="93" t="s">
        <v>542</v>
      </c>
      <c r="H34" s="11" t="s">
        <v>543</v>
      </c>
      <c r="I34" s="92" t="s">
        <v>201</v>
      </c>
      <c r="J34" s="97" t="s">
        <v>251</v>
      </c>
      <c r="K34" s="95">
        <v>24.2</v>
      </c>
      <c r="L34" s="96">
        <v>3.61</v>
      </c>
      <c r="M34" s="96">
        <v>4.6500000000000004</v>
      </c>
      <c r="N34" s="96">
        <v>0.02</v>
      </c>
      <c r="O34" s="96">
        <v>2.0099999999999998</v>
      </c>
      <c r="P34" s="96">
        <v>0</v>
      </c>
      <c r="Q34" s="97">
        <v>1877</v>
      </c>
      <c r="R34" s="97">
        <v>784</v>
      </c>
      <c r="S34" s="105" t="s">
        <v>514</v>
      </c>
      <c r="T34" s="122"/>
    </row>
    <row r="35" spans="1:20" x14ac:dyDescent="0.4">
      <c r="A35" s="92" t="s">
        <v>544</v>
      </c>
      <c r="B35" s="92">
        <v>45916</v>
      </c>
      <c r="C35" s="92" t="s">
        <v>302</v>
      </c>
      <c r="D35" s="92"/>
      <c r="E35" s="92"/>
      <c r="F35" s="92"/>
      <c r="G35" s="93" t="s">
        <v>545</v>
      </c>
      <c r="H35" s="98" t="s">
        <v>508</v>
      </c>
      <c r="I35" s="92" t="s">
        <v>201</v>
      </c>
      <c r="J35" s="97" t="s">
        <v>251</v>
      </c>
      <c r="K35" s="95">
        <v>24.6</v>
      </c>
      <c r="L35" s="96">
        <v>3.56</v>
      </c>
      <c r="M35" s="96">
        <v>4.95</v>
      </c>
      <c r="N35" s="96">
        <v>0.01</v>
      </c>
      <c r="O35" s="96">
        <v>1.71</v>
      </c>
      <c r="P35" s="96">
        <v>0.02</v>
      </c>
      <c r="Q35" s="97">
        <v>2004</v>
      </c>
      <c r="R35" s="97">
        <v>805</v>
      </c>
      <c r="S35" s="105" t="s">
        <v>514</v>
      </c>
      <c r="T35" s="122"/>
    </row>
    <row r="36" spans="1:20" x14ac:dyDescent="0.4">
      <c r="A36" s="92" t="s">
        <v>546</v>
      </c>
      <c r="B36" s="92">
        <v>45917</v>
      </c>
      <c r="C36" s="92" t="s">
        <v>313</v>
      </c>
      <c r="D36" s="92"/>
      <c r="E36" s="92"/>
      <c r="F36" s="92"/>
      <c r="G36" s="93" t="s">
        <v>547</v>
      </c>
      <c r="H36" s="11" t="s">
        <v>517</v>
      </c>
      <c r="I36" s="92" t="s">
        <v>229</v>
      </c>
      <c r="J36" s="97" t="s">
        <v>310</v>
      </c>
      <c r="K36" s="95">
        <v>23</v>
      </c>
      <c r="L36" s="96">
        <v>3.53</v>
      </c>
      <c r="M36" s="96">
        <v>5.85</v>
      </c>
      <c r="N36" s="96">
        <v>0.03</v>
      </c>
      <c r="O36" s="96">
        <v>2.1800000000000002</v>
      </c>
      <c r="P36" s="96">
        <v>0</v>
      </c>
      <c r="Q36" s="97">
        <v>1620</v>
      </c>
      <c r="R36" s="97">
        <v>508</v>
      </c>
      <c r="S36" s="105" t="s">
        <v>529</v>
      </c>
      <c r="T36" s="122"/>
    </row>
    <row r="37" spans="1:20" x14ac:dyDescent="0.4">
      <c r="A37" s="92" t="s">
        <v>548</v>
      </c>
      <c r="B37" s="92">
        <v>45917</v>
      </c>
      <c r="C37" s="92" t="s">
        <v>549</v>
      </c>
      <c r="D37" s="92" t="s">
        <v>550</v>
      </c>
      <c r="E37" s="92"/>
      <c r="F37" s="92"/>
      <c r="G37" s="93" t="s">
        <v>551</v>
      </c>
      <c r="H37" s="11" t="s">
        <v>452</v>
      </c>
      <c r="I37" s="92" t="s">
        <v>216</v>
      </c>
      <c r="J37" s="97" t="s">
        <v>310</v>
      </c>
      <c r="K37" s="95">
        <v>22.5</v>
      </c>
      <c r="L37" s="96">
        <v>3.25</v>
      </c>
      <c r="M37" s="96">
        <v>6.75</v>
      </c>
      <c r="N37" s="96">
        <v>0.32</v>
      </c>
      <c r="O37" s="96">
        <v>1.8</v>
      </c>
      <c r="P37" s="96">
        <v>0.01</v>
      </c>
      <c r="Q37" s="94">
        <v>2022</v>
      </c>
      <c r="R37" s="94">
        <v>616</v>
      </c>
      <c r="S37" s="105" t="s">
        <v>529</v>
      </c>
      <c r="T37" s="122"/>
    </row>
    <row r="38" spans="1:20" x14ac:dyDescent="0.4">
      <c r="A38" s="92" t="s">
        <v>552</v>
      </c>
      <c r="B38" s="92">
        <v>45918</v>
      </c>
      <c r="C38" s="92" t="s">
        <v>313</v>
      </c>
      <c r="D38" s="92"/>
      <c r="E38" s="92"/>
      <c r="F38" s="92"/>
      <c r="G38" s="93" t="s">
        <v>547</v>
      </c>
      <c r="H38" s="11" t="s">
        <v>517</v>
      </c>
      <c r="I38" s="92" t="s">
        <v>229</v>
      </c>
      <c r="J38" s="97" t="s">
        <v>310</v>
      </c>
      <c r="K38" s="95">
        <v>23</v>
      </c>
      <c r="L38" s="96">
        <v>3.33</v>
      </c>
      <c r="M38" s="96">
        <v>6.45</v>
      </c>
      <c r="N38" s="96">
        <v>0.02</v>
      </c>
      <c r="O38" s="96">
        <v>2.11</v>
      </c>
      <c r="P38" s="96">
        <v>0</v>
      </c>
      <c r="Q38" s="97">
        <v>1620</v>
      </c>
      <c r="R38" s="97">
        <v>508</v>
      </c>
      <c r="S38" s="105" t="s">
        <v>529</v>
      </c>
      <c r="T38" s="122"/>
    </row>
    <row r="39" spans="1:20" x14ac:dyDescent="0.4">
      <c r="A39" s="92" t="s">
        <v>553</v>
      </c>
      <c r="B39" s="92">
        <v>45918</v>
      </c>
      <c r="C39" s="92" t="s">
        <v>549</v>
      </c>
      <c r="D39" s="92" t="s">
        <v>550</v>
      </c>
      <c r="E39" s="92"/>
      <c r="F39" s="92"/>
      <c r="G39" s="93" t="s">
        <v>551</v>
      </c>
      <c r="H39" s="11" t="s">
        <v>452</v>
      </c>
      <c r="I39" s="92" t="s">
        <v>216</v>
      </c>
      <c r="J39" s="97" t="s">
        <v>310</v>
      </c>
      <c r="K39" s="95">
        <v>22.7</v>
      </c>
      <c r="L39" s="96">
        <v>3.26</v>
      </c>
      <c r="M39" s="96">
        <v>7.05</v>
      </c>
      <c r="N39" s="96">
        <v>0.27</v>
      </c>
      <c r="O39" s="96">
        <v>1.89</v>
      </c>
      <c r="P39" s="96">
        <v>0</v>
      </c>
      <c r="Q39" s="94">
        <v>2022</v>
      </c>
      <c r="R39" s="94">
        <v>616</v>
      </c>
      <c r="S39" s="105" t="s">
        <v>529</v>
      </c>
      <c r="T39" s="122"/>
    </row>
    <row r="40" spans="1:20" x14ac:dyDescent="0.4">
      <c r="A40" s="92" t="s">
        <v>554</v>
      </c>
      <c r="B40" s="92">
        <v>45918</v>
      </c>
      <c r="C40" s="92" t="s">
        <v>555</v>
      </c>
      <c r="D40" s="92" t="s">
        <v>217</v>
      </c>
      <c r="E40" s="92"/>
      <c r="F40" s="92"/>
      <c r="G40" s="93" t="s">
        <v>556</v>
      </c>
      <c r="H40" s="11" t="s">
        <v>557</v>
      </c>
      <c r="I40" s="92" t="s">
        <v>216</v>
      </c>
      <c r="J40" s="97" t="s">
        <v>294</v>
      </c>
      <c r="K40" s="95">
        <v>22.8</v>
      </c>
      <c r="L40" s="96">
        <v>3.85</v>
      </c>
      <c r="M40" s="96">
        <v>4.6500000000000004</v>
      </c>
      <c r="N40" s="96">
        <v>0.77</v>
      </c>
      <c r="O40" s="96">
        <v>2.11</v>
      </c>
      <c r="P40" s="96">
        <v>0.08</v>
      </c>
      <c r="Q40" s="97" t="s">
        <v>204</v>
      </c>
      <c r="R40" s="97" t="s">
        <v>204</v>
      </c>
      <c r="S40" s="105" t="s">
        <v>514</v>
      </c>
      <c r="T40" s="122"/>
    </row>
    <row r="41" spans="1:20" x14ac:dyDescent="0.4">
      <c r="A41" s="92" t="s">
        <v>558</v>
      </c>
      <c r="B41" s="92">
        <v>45918</v>
      </c>
      <c r="C41" s="92" t="s">
        <v>549</v>
      </c>
      <c r="D41" s="92" t="s">
        <v>550</v>
      </c>
      <c r="E41" s="92"/>
      <c r="F41" s="92"/>
      <c r="G41" s="93" t="s">
        <v>551</v>
      </c>
      <c r="H41" s="98" t="s">
        <v>452</v>
      </c>
      <c r="I41" s="92" t="s">
        <v>216</v>
      </c>
      <c r="J41" s="97" t="s">
        <v>310</v>
      </c>
      <c r="K41" s="95">
        <v>22.6</v>
      </c>
      <c r="L41" s="96">
        <v>3.59</v>
      </c>
      <c r="M41" s="96">
        <v>4.95</v>
      </c>
      <c r="N41" s="96">
        <v>0.23</v>
      </c>
      <c r="O41" s="96">
        <v>1.71</v>
      </c>
      <c r="P41" s="96">
        <v>0</v>
      </c>
      <c r="Q41" s="94">
        <v>2022</v>
      </c>
      <c r="R41" s="94">
        <v>616</v>
      </c>
      <c r="S41" s="105" t="s">
        <v>529</v>
      </c>
      <c r="T41" s="122"/>
    </row>
    <row r="42" spans="1:20" x14ac:dyDescent="0.4">
      <c r="A42" s="92" t="s">
        <v>559</v>
      </c>
      <c r="B42" s="92">
        <v>45918</v>
      </c>
      <c r="C42" s="92" t="s">
        <v>560</v>
      </c>
      <c r="D42" s="92"/>
      <c r="E42" s="92"/>
      <c r="F42" s="92"/>
      <c r="G42" s="93" t="s">
        <v>561</v>
      </c>
      <c r="H42" s="98" t="s">
        <v>467</v>
      </c>
      <c r="I42" s="92" t="s">
        <v>216</v>
      </c>
      <c r="J42" s="97" t="s">
        <v>317</v>
      </c>
      <c r="K42" s="95">
        <v>20.7</v>
      </c>
      <c r="L42" s="96">
        <v>3.43</v>
      </c>
      <c r="M42" s="96">
        <v>5.85</v>
      </c>
      <c r="N42" s="96">
        <v>7.0000000000000007E-2</v>
      </c>
      <c r="O42" s="97">
        <v>1.73</v>
      </c>
      <c r="P42" s="96">
        <v>0</v>
      </c>
      <c r="Q42" s="97" t="s">
        <v>204</v>
      </c>
      <c r="R42" s="97" t="s">
        <v>204</v>
      </c>
      <c r="S42" s="122"/>
      <c r="T42" s="122"/>
    </row>
    <row r="43" spans="1:20" x14ac:dyDescent="0.4">
      <c r="A43" s="92" t="s">
        <v>562</v>
      </c>
      <c r="B43" s="92">
        <v>45919</v>
      </c>
      <c r="C43" s="92" t="s">
        <v>563</v>
      </c>
      <c r="D43" s="92" t="s">
        <v>308</v>
      </c>
      <c r="E43" s="92" t="s">
        <v>306</v>
      </c>
      <c r="F43" s="92"/>
      <c r="G43" s="93" t="s">
        <v>564</v>
      </c>
      <c r="H43" s="98" t="s">
        <v>565</v>
      </c>
      <c r="I43" s="92" t="s">
        <v>229</v>
      </c>
      <c r="J43" s="97" t="s">
        <v>230</v>
      </c>
      <c r="K43" s="95">
        <v>22.4</v>
      </c>
      <c r="L43" s="96">
        <v>3.48</v>
      </c>
      <c r="M43" s="96">
        <v>6.9</v>
      </c>
      <c r="N43" s="96">
        <v>0.27</v>
      </c>
      <c r="O43" s="96">
        <v>2.8</v>
      </c>
      <c r="P43" s="96">
        <v>0.05</v>
      </c>
      <c r="Q43" s="97" t="s">
        <v>204</v>
      </c>
      <c r="R43" s="97" t="s">
        <v>204</v>
      </c>
      <c r="S43" s="122"/>
      <c r="T43" s="122"/>
    </row>
    <row r="44" spans="1:20" x14ac:dyDescent="0.4">
      <c r="A44" s="92" t="s">
        <v>566</v>
      </c>
      <c r="B44" s="92">
        <v>45919</v>
      </c>
      <c r="C44" s="92" t="s">
        <v>567</v>
      </c>
      <c r="D44" s="92"/>
      <c r="E44" s="92"/>
      <c r="F44" s="92"/>
      <c r="G44" s="93" t="s">
        <v>568</v>
      </c>
      <c r="H44" s="11" t="s">
        <v>569</v>
      </c>
      <c r="I44" s="92" t="s">
        <v>216</v>
      </c>
      <c r="J44" s="97" t="s">
        <v>294</v>
      </c>
      <c r="K44" s="95">
        <v>21.9</v>
      </c>
      <c r="L44" s="96">
        <v>4.0599999999999996</v>
      </c>
      <c r="M44" s="96">
        <v>5.25</v>
      </c>
      <c r="N44" s="96">
        <v>0.17</v>
      </c>
      <c r="O44" s="96">
        <v>3.37</v>
      </c>
      <c r="P44" s="96">
        <v>0.02</v>
      </c>
      <c r="Q44" s="94" t="s">
        <v>204</v>
      </c>
      <c r="R44" s="94" t="s">
        <v>204</v>
      </c>
      <c r="S44" s="122"/>
      <c r="T44" s="122"/>
    </row>
    <row r="45" spans="1:20" x14ac:dyDescent="0.4">
      <c r="A45" s="92" t="s">
        <v>570</v>
      </c>
      <c r="B45" s="92">
        <v>45919</v>
      </c>
      <c r="C45" s="92" t="s">
        <v>322</v>
      </c>
      <c r="D45" s="92"/>
      <c r="E45" s="92"/>
      <c r="F45" s="92"/>
      <c r="G45" s="93" t="s">
        <v>571</v>
      </c>
      <c r="H45" s="11" t="s">
        <v>572</v>
      </c>
      <c r="I45" s="92" t="s">
        <v>216</v>
      </c>
      <c r="J45" s="97" t="s">
        <v>209</v>
      </c>
      <c r="K45" s="95">
        <v>19.7</v>
      </c>
      <c r="L45" s="96">
        <v>3.54</v>
      </c>
      <c r="M45" s="96">
        <v>6.9</v>
      </c>
      <c r="N45" s="96">
        <v>1.46</v>
      </c>
      <c r="O45" s="96">
        <v>3.96</v>
      </c>
      <c r="P45" s="96">
        <v>0.15</v>
      </c>
      <c r="Q45" s="94" t="s">
        <v>204</v>
      </c>
      <c r="R45" s="94" t="s">
        <v>204</v>
      </c>
      <c r="S45" s="122"/>
      <c r="T45" s="122"/>
    </row>
    <row r="46" spans="1:20" x14ac:dyDescent="0.4">
      <c r="A46" s="92" t="s">
        <v>573</v>
      </c>
      <c r="B46" s="92">
        <v>45919</v>
      </c>
      <c r="C46" s="92" t="s">
        <v>563</v>
      </c>
      <c r="D46" s="92"/>
      <c r="E46" s="92"/>
      <c r="F46" s="92"/>
      <c r="G46" s="93" t="s">
        <v>574</v>
      </c>
      <c r="H46" s="11" t="s">
        <v>575</v>
      </c>
      <c r="I46" s="92" t="s">
        <v>229</v>
      </c>
      <c r="J46" s="97" t="s">
        <v>230</v>
      </c>
      <c r="K46" s="95">
        <v>20.7</v>
      </c>
      <c r="L46" s="96">
        <v>3.36</v>
      </c>
      <c r="M46" s="96">
        <v>8.1</v>
      </c>
      <c r="N46" s="96">
        <v>0.75</v>
      </c>
      <c r="O46" s="96">
        <v>2.81</v>
      </c>
      <c r="P46" s="96">
        <v>0.17</v>
      </c>
      <c r="Q46" s="97" t="s">
        <v>204</v>
      </c>
      <c r="R46" s="97" t="s">
        <v>204</v>
      </c>
      <c r="S46" s="122"/>
      <c r="T46" s="122"/>
    </row>
    <row r="47" spans="1:20" x14ac:dyDescent="0.4">
      <c r="A47" s="92" t="s">
        <v>576</v>
      </c>
      <c r="B47" s="92">
        <v>45919</v>
      </c>
      <c r="C47" s="92" t="s">
        <v>567</v>
      </c>
      <c r="D47" s="92"/>
      <c r="E47" s="92"/>
      <c r="F47" s="92"/>
      <c r="G47" s="93" t="s">
        <v>577</v>
      </c>
      <c r="H47" s="11" t="s">
        <v>505</v>
      </c>
      <c r="I47" s="92" t="s">
        <v>229</v>
      </c>
      <c r="J47" s="97" t="s">
        <v>230</v>
      </c>
      <c r="K47" s="95">
        <v>20.9</v>
      </c>
      <c r="L47" s="96">
        <v>3.68</v>
      </c>
      <c r="M47" s="96">
        <v>7.95</v>
      </c>
      <c r="N47" s="96">
        <v>0.18</v>
      </c>
      <c r="O47" s="96">
        <v>4.28</v>
      </c>
      <c r="P47" s="96">
        <v>0.03</v>
      </c>
      <c r="Q47" s="97" t="s">
        <v>204</v>
      </c>
      <c r="R47" s="97" t="s">
        <v>204</v>
      </c>
      <c r="S47" s="122"/>
      <c r="T47" s="122"/>
    </row>
    <row r="48" spans="1:20" x14ac:dyDescent="0.4">
      <c r="A48" s="92" t="s">
        <v>578</v>
      </c>
      <c r="B48" s="92">
        <v>45920</v>
      </c>
      <c r="C48" s="92" t="s">
        <v>563</v>
      </c>
      <c r="D48" s="92"/>
      <c r="E48" s="92"/>
      <c r="F48" s="92"/>
      <c r="G48" s="93" t="s">
        <v>574</v>
      </c>
      <c r="H48" s="98" t="s">
        <v>575</v>
      </c>
      <c r="I48" s="92" t="s">
        <v>229</v>
      </c>
      <c r="J48" s="97" t="s">
        <v>230</v>
      </c>
      <c r="K48" s="95">
        <v>20.8</v>
      </c>
      <c r="L48" s="96">
        <v>3.33</v>
      </c>
      <c r="M48" s="96">
        <v>8.6999999999999993</v>
      </c>
      <c r="N48" s="96">
        <v>0.74</v>
      </c>
      <c r="O48" s="96">
        <v>2.85</v>
      </c>
      <c r="P48" s="96">
        <v>0.17</v>
      </c>
      <c r="Q48" s="97" t="s">
        <v>204</v>
      </c>
      <c r="R48" s="97" t="s">
        <v>204</v>
      </c>
      <c r="S48" s="122"/>
      <c r="T48" s="122"/>
    </row>
    <row r="49" spans="1:20" x14ac:dyDescent="0.4">
      <c r="A49" s="92" t="s">
        <v>579</v>
      </c>
      <c r="B49" s="92">
        <v>45920</v>
      </c>
      <c r="C49" s="92" t="s">
        <v>567</v>
      </c>
      <c r="D49" s="92"/>
      <c r="E49" s="92"/>
      <c r="F49" s="92"/>
      <c r="G49" s="93" t="s">
        <v>577</v>
      </c>
      <c r="H49" s="11" t="s">
        <v>505</v>
      </c>
      <c r="I49" s="92" t="s">
        <v>229</v>
      </c>
      <c r="J49" s="97" t="s">
        <v>230</v>
      </c>
      <c r="K49" s="95">
        <v>21</v>
      </c>
      <c r="L49" s="96">
        <v>3.62</v>
      </c>
      <c r="M49" s="96">
        <v>7.95</v>
      </c>
      <c r="N49" s="96">
        <v>0.18</v>
      </c>
      <c r="O49" s="96">
        <v>4.24</v>
      </c>
      <c r="P49" s="96">
        <v>0.02</v>
      </c>
      <c r="Q49" s="97" t="s">
        <v>204</v>
      </c>
      <c r="R49" s="97" t="s">
        <v>204</v>
      </c>
      <c r="S49" s="122"/>
      <c r="T49" s="122"/>
    </row>
    <row r="50" spans="1:20" x14ac:dyDescent="0.4">
      <c r="A50" s="92" t="s">
        <v>580</v>
      </c>
      <c r="B50" s="92">
        <v>45920</v>
      </c>
      <c r="C50" s="92" t="s">
        <v>227</v>
      </c>
      <c r="D50" s="92"/>
      <c r="E50" s="92"/>
      <c r="F50" s="92"/>
      <c r="G50" s="93" t="s">
        <v>581</v>
      </c>
      <c r="H50" s="11" t="s">
        <v>582</v>
      </c>
      <c r="I50" s="92" t="s">
        <v>216</v>
      </c>
      <c r="J50" s="97" t="s">
        <v>209</v>
      </c>
      <c r="K50" s="95">
        <v>20.2</v>
      </c>
      <c r="L50" s="96">
        <v>3.54</v>
      </c>
      <c r="M50" s="96">
        <v>6.45</v>
      </c>
      <c r="N50" s="96">
        <v>0.75</v>
      </c>
      <c r="O50" s="96">
        <v>3.87</v>
      </c>
      <c r="P50" s="96">
        <v>0.1</v>
      </c>
      <c r="Q50" s="97" t="s">
        <v>204</v>
      </c>
      <c r="R50" s="97" t="s">
        <v>204</v>
      </c>
      <c r="S50" s="122"/>
      <c r="T50" s="122"/>
    </row>
    <row r="51" spans="1:20" x14ac:dyDescent="0.4">
      <c r="A51" s="92" t="s">
        <v>583</v>
      </c>
      <c r="B51" s="92">
        <v>45921</v>
      </c>
      <c r="C51" s="94" t="s">
        <v>584</v>
      </c>
      <c r="D51" s="92"/>
      <c r="E51" s="92"/>
      <c r="F51" s="92"/>
      <c r="G51" s="93" t="s">
        <v>585</v>
      </c>
      <c r="H51" s="11" t="s">
        <v>586</v>
      </c>
      <c r="I51" s="92" t="s">
        <v>229</v>
      </c>
      <c r="J51" s="97" t="s">
        <v>230</v>
      </c>
      <c r="K51" s="95">
        <v>20.399999999999999</v>
      </c>
      <c r="L51" s="96">
        <v>3.37</v>
      </c>
      <c r="M51" s="96">
        <v>7.5</v>
      </c>
      <c r="N51" s="96">
        <v>0.76</v>
      </c>
      <c r="O51" s="96">
        <v>2.61</v>
      </c>
      <c r="P51" s="96">
        <v>0.15</v>
      </c>
      <c r="Q51" s="97" t="s">
        <v>204</v>
      </c>
      <c r="R51" s="97" t="s">
        <v>204</v>
      </c>
      <c r="S51" s="122"/>
      <c r="T51" s="122"/>
    </row>
    <row r="52" spans="1:20" x14ac:dyDescent="0.4">
      <c r="A52" s="92" t="s">
        <v>587</v>
      </c>
      <c r="B52" s="92">
        <v>45921</v>
      </c>
      <c r="C52" s="92" t="s">
        <v>584</v>
      </c>
      <c r="D52" s="92" t="s">
        <v>563</v>
      </c>
      <c r="E52" s="92"/>
      <c r="F52" s="92"/>
      <c r="G52" s="93" t="s">
        <v>588</v>
      </c>
      <c r="H52" s="11" t="s">
        <v>498</v>
      </c>
      <c r="I52" s="92" t="s">
        <v>229</v>
      </c>
      <c r="J52" s="97" t="s">
        <v>230</v>
      </c>
      <c r="K52" s="95">
        <v>20.100000000000001</v>
      </c>
      <c r="L52" s="96">
        <v>3.38</v>
      </c>
      <c r="M52" s="96">
        <v>7.95</v>
      </c>
      <c r="N52" s="96">
        <v>1.32</v>
      </c>
      <c r="O52" s="96">
        <v>2.83</v>
      </c>
      <c r="P52" s="96">
        <v>0.54</v>
      </c>
      <c r="Q52" s="97" t="s">
        <v>204</v>
      </c>
      <c r="R52" s="97" t="s">
        <v>204</v>
      </c>
      <c r="S52" s="122"/>
      <c r="T52" s="122"/>
    </row>
    <row r="53" spans="1:20" x14ac:dyDescent="0.4">
      <c r="A53" s="92" t="s">
        <v>589</v>
      </c>
      <c r="B53" s="92">
        <v>45921</v>
      </c>
      <c r="C53" s="92" t="s">
        <v>590</v>
      </c>
      <c r="D53" s="92"/>
      <c r="E53" s="92"/>
      <c r="F53" s="92"/>
      <c r="G53" s="93" t="s">
        <v>591</v>
      </c>
      <c r="H53" s="11" t="s">
        <v>565</v>
      </c>
      <c r="I53" s="92" t="s">
        <v>216</v>
      </c>
      <c r="J53" s="97" t="s">
        <v>310</v>
      </c>
      <c r="K53" s="95">
        <v>22.8</v>
      </c>
      <c r="L53" s="96">
        <v>3.43</v>
      </c>
      <c r="M53" s="96">
        <v>6.9</v>
      </c>
      <c r="N53" s="96">
        <v>1.2</v>
      </c>
      <c r="O53" s="96">
        <v>1.71</v>
      </c>
      <c r="P53" s="96">
        <v>0.06</v>
      </c>
      <c r="Q53" s="94">
        <v>1967</v>
      </c>
      <c r="R53" s="94">
        <v>541</v>
      </c>
      <c r="S53" s="105" t="s">
        <v>529</v>
      </c>
      <c r="T53" s="122"/>
    </row>
    <row r="54" spans="1:20" x14ac:dyDescent="0.4">
      <c r="A54" s="92" t="s">
        <v>592</v>
      </c>
      <c r="B54" s="92">
        <v>45921</v>
      </c>
      <c r="C54" s="94" t="s">
        <v>584</v>
      </c>
      <c r="D54" s="94"/>
      <c r="E54" s="94"/>
      <c r="F54" s="94"/>
      <c r="G54" s="93" t="s">
        <v>585</v>
      </c>
      <c r="H54" s="11" t="s">
        <v>586</v>
      </c>
      <c r="I54" s="94" t="s">
        <v>229</v>
      </c>
      <c r="J54" s="97" t="s">
        <v>230</v>
      </c>
      <c r="K54" s="95">
        <v>20.399999999999999</v>
      </c>
      <c r="L54" s="96">
        <v>3.48</v>
      </c>
      <c r="M54" s="96">
        <v>8.25</v>
      </c>
      <c r="N54" s="96">
        <v>1.54</v>
      </c>
      <c r="O54" s="96">
        <v>2.63</v>
      </c>
      <c r="P54" s="96">
        <v>0.52</v>
      </c>
      <c r="Q54" s="97" t="s">
        <v>204</v>
      </c>
      <c r="R54" s="97" t="s">
        <v>204</v>
      </c>
      <c r="S54" s="122"/>
      <c r="T54" s="122"/>
    </row>
    <row r="55" spans="1:20" x14ac:dyDescent="0.4">
      <c r="A55" s="92" t="s">
        <v>593</v>
      </c>
      <c r="B55" s="92">
        <v>45921</v>
      </c>
      <c r="C55" s="92" t="s">
        <v>567</v>
      </c>
      <c r="D55" s="92"/>
      <c r="E55" s="92"/>
      <c r="F55" s="92"/>
      <c r="G55" s="93" t="s">
        <v>577</v>
      </c>
      <c r="H55" s="11" t="s">
        <v>505</v>
      </c>
      <c r="I55" s="92" t="s">
        <v>229</v>
      </c>
      <c r="J55" s="97" t="s">
        <v>230</v>
      </c>
      <c r="K55" s="95">
        <v>20</v>
      </c>
      <c r="L55" s="96">
        <v>3.63</v>
      </c>
      <c r="M55" s="96">
        <v>6.9</v>
      </c>
      <c r="N55" s="96">
        <v>0.24</v>
      </c>
      <c r="O55" s="96">
        <v>3.8</v>
      </c>
      <c r="P55" s="96">
        <v>0.13</v>
      </c>
      <c r="Q55" s="97" t="s">
        <v>204</v>
      </c>
      <c r="R55" s="97" t="s">
        <v>204</v>
      </c>
      <c r="S55" s="122"/>
      <c r="T55" s="122"/>
    </row>
    <row r="56" spans="1:20" x14ac:dyDescent="0.4">
      <c r="A56" s="92" t="s">
        <v>594</v>
      </c>
      <c r="B56" s="92">
        <v>45921</v>
      </c>
      <c r="C56" s="92" t="s">
        <v>327</v>
      </c>
      <c r="D56" s="92"/>
      <c r="E56" s="92"/>
      <c r="F56" s="92"/>
      <c r="G56" s="93" t="s">
        <v>595</v>
      </c>
      <c r="H56" s="11" t="s">
        <v>596</v>
      </c>
      <c r="I56" s="92" t="s">
        <v>229</v>
      </c>
      <c r="J56" s="97" t="s">
        <v>213</v>
      </c>
      <c r="K56" s="95">
        <v>21.9</v>
      </c>
      <c r="L56" s="96">
        <v>3.51</v>
      </c>
      <c r="M56" s="96">
        <v>5.4</v>
      </c>
      <c r="N56" s="96">
        <v>0.72</v>
      </c>
      <c r="O56" s="96">
        <v>2.91</v>
      </c>
      <c r="P56" s="100">
        <v>0</v>
      </c>
      <c r="Q56" s="94">
        <v>1492</v>
      </c>
      <c r="R56" s="94">
        <v>733</v>
      </c>
      <c r="S56" s="105" t="s">
        <v>529</v>
      </c>
      <c r="T56" s="122"/>
    </row>
    <row r="57" spans="1:20" x14ac:dyDescent="0.4">
      <c r="A57" s="92" t="s">
        <v>597</v>
      </c>
      <c r="B57" s="92">
        <v>45922</v>
      </c>
      <c r="C57" s="92" t="s">
        <v>567</v>
      </c>
      <c r="D57" s="92"/>
      <c r="E57" s="92"/>
      <c r="F57" s="92"/>
      <c r="G57" s="93" t="s">
        <v>577</v>
      </c>
      <c r="H57" s="11" t="s">
        <v>505</v>
      </c>
      <c r="I57" s="92" t="s">
        <v>229</v>
      </c>
      <c r="J57" s="97" t="s">
        <v>230</v>
      </c>
      <c r="K57" s="95">
        <v>19.399999999999999</v>
      </c>
      <c r="L57" s="96">
        <v>3.56</v>
      </c>
      <c r="M57" s="96">
        <v>7.95</v>
      </c>
      <c r="N57" s="96">
        <v>0.2</v>
      </c>
      <c r="O57" s="96">
        <v>3.88</v>
      </c>
      <c r="P57" s="96">
        <v>0.13</v>
      </c>
      <c r="Q57" s="97" t="s">
        <v>204</v>
      </c>
      <c r="R57" s="97" t="s">
        <v>204</v>
      </c>
      <c r="S57" s="122"/>
      <c r="T57" s="122"/>
    </row>
    <row r="58" spans="1:20" x14ac:dyDescent="0.4">
      <c r="A58" s="92" t="s">
        <v>598</v>
      </c>
      <c r="B58" s="92">
        <v>45922</v>
      </c>
      <c r="C58" s="92" t="s">
        <v>327</v>
      </c>
      <c r="D58" s="92"/>
      <c r="E58" s="92"/>
      <c r="F58" s="92"/>
      <c r="G58" s="93" t="s">
        <v>595</v>
      </c>
      <c r="H58" s="11" t="s">
        <v>596</v>
      </c>
      <c r="I58" s="92" t="s">
        <v>229</v>
      </c>
      <c r="J58" s="97" t="s">
        <v>213</v>
      </c>
      <c r="K58" s="95">
        <v>22.3</v>
      </c>
      <c r="L58" s="96">
        <v>3.59</v>
      </c>
      <c r="M58" s="96">
        <v>5.7</v>
      </c>
      <c r="N58" s="96">
        <v>0.59</v>
      </c>
      <c r="O58" s="96">
        <v>2.9</v>
      </c>
      <c r="P58" s="96">
        <v>0</v>
      </c>
      <c r="Q58" s="94">
        <v>1492</v>
      </c>
      <c r="R58" s="94">
        <v>733</v>
      </c>
      <c r="S58" s="105" t="s">
        <v>529</v>
      </c>
      <c r="T58" s="122"/>
    </row>
    <row r="59" spans="1:20" x14ac:dyDescent="0.4">
      <c r="A59" s="92" t="s">
        <v>599</v>
      </c>
      <c r="B59" s="92">
        <v>45922</v>
      </c>
      <c r="C59" s="92" t="s">
        <v>233</v>
      </c>
      <c r="D59" s="92" t="s">
        <v>327</v>
      </c>
      <c r="E59" s="92"/>
      <c r="F59" s="92"/>
      <c r="G59" s="93" t="s">
        <v>600</v>
      </c>
      <c r="H59" s="98" t="s">
        <v>601</v>
      </c>
      <c r="I59" s="92" t="s">
        <v>229</v>
      </c>
      <c r="J59" s="97" t="s">
        <v>213</v>
      </c>
      <c r="K59" s="95">
        <v>22.6</v>
      </c>
      <c r="L59" s="96">
        <v>3.05</v>
      </c>
      <c r="M59" s="96">
        <v>9.4499999999999993</v>
      </c>
      <c r="N59" s="96">
        <v>0.56999999999999995</v>
      </c>
      <c r="O59" s="96">
        <v>2.78</v>
      </c>
      <c r="P59" s="96">
        <v>0</v>
      </c>
      <c r="Q59" s="94">
        <v>1906</v>
      </c>
      <c r="R59" s="94">
        <v>611</v>
      </c>
      <c r="S59" s="105" t="s">
        <v>529</v>
      </c>
      <c r="T59" s="122"/>
    </row>
    <row r="60" spans="1:20" x14ac:dyDescent="0.4">
      <c r="A60" s="92" t="s">
        <v>602</v>
      </c>
      <c r="B60" s="92">
        <v>45923</v>
      </c>
      <c r="C60" s="92" t="s">
        <v>330</v>
      </c>
      <c r="D60" s="92"/>
      <c r="E60" s="92"/>
      <c r="F60" s="92"/>
      <c r="G60" s="93" t="s">
        <v>603</v>
      </c>
      <c r="H60" s="11" t="s">
        <v>200</v>
      </c>
      <c r="I60" s="92" t="s">
        <v>216</v>
      </c>
      <c r="J60" s="97" t="s">
        <v>329</v>
      </c>
      <c r="K60" s="95">
        <v>22.1</v>
      </c>
      <c r="L60" s="96">
        <v>3.94</v>
      </c>
      <c r="M60" s="96">
        <v>3.15</v>
      </c>
      <c r="N60" s="96">
        <v>0.26</v>
      </c>
      <c r="O60" s="96">
        <v>1.01</v>
      </c>
      <c r="P60" s="96">
        <v>0</v>
      </c>
      <c r="Q60" s="94">
        <v>2266</v>
      </c>
      <c r="R60" s="94">
        <v>591</v>
      </c>
      <c r="S60" s="105" t="s">
        <v>514</v>
      </c>
      <c r="T60" s="122"/>
    </row>
    <row r="61" spans="1:20" x14ac:dyDescent="0.4">
      <c r="A61" s="92" t="s">
        <v>604</v>
      </c>
      <c r="B61" s="92">
        <v>45923</v>
      </c>
      <c r="C61" s="92" t="s">
        <v>332</v>
      </c>
      <c r="D61" s="92"/>
      <c r="E61" s="92"/>
      <c r="F61" s="92"/>
      <c r="G61" s="93" t="s">
        <v>605</v>
      </c>
      <c r="H61" s="11" t="s">
        <v>200</v>
      </c>
      <c r="I61" s="92" t="s">
        <v>216</v>
      </c>
      <c r="J61" s="97" t="s">
        <v>329</v>
      </c>
      <c r="K61" s="95">
        <v>22.5</v>
      </c>
      <c r="L61" s="96">
        <v>3.95</v>
      </c>
      <c r="M61" s="96">
        <v>3.3</v>
      </c>
      <c r="N61" s="96">
        <v>0.19</v>
      </c>
      <c r="O61" s="96">
        <v>1.1200000000000001</v>
      </c>
      <c r="P61" s="96">
        <v>0</v>
      </c>
      <c r="Q61" s="94">
        <v>2096</v>
      </c>
      <c r="R61" s="94">
        <v>573</v>
      </c>
      <c r="S61" s="105" t="s">
        <v>514</v>
      </c>
      <c r="T61" s="122"/>
    </row>
    <row r="62" spans="1:20" x14ac:dyDescent="0.4">
      <c r="A62" s="92" t="s">
        <v>606</v>
      </c>
      <c r="B62" s="92">
        <v>45923</v>
      </c>
      <c r="C62" s="92" t="s">
        <v>334</v>
      </c>
      <c r="D62" s="92" t="s">
        <v>607</v>
      </c>
      <c r="E62" s="92"/>
      <c r="F62" s="92"/>
      <c r="G62" s="93" t="s">
        <v>608</v>
      </c>
      <c r="H62" s="11" t="s">
        <v>489</v>
      </c>
      <c r="I62" s="92" t="s">
        <v>229</v>
      </c>
      <c r="J62" s="97" t="s">
        <v>213</v>
      </c>
      <c r="K62" s="95">
        <v>22</v>
      </c>
      <c r="L62" s="96">
        <v>3.42</v>
      </c>
      <c r="M62" s="96">
        <v>6.75</v>
      </c>
      <c r="N62" s="96">
        <v>0.66</v>
      </c>
      <c r="O62" s="96">
        <v>3.01</v>
      </c>
      <c r="P62" s="96">
        <v>0.01</v>
      </c>
      <c r="Q62" s="94">
        <v>1126</v>
      </c>
      <c r="R62" s="94">
        <v>666</v>
      </c>
      <c r="S62" s="105" t="s">
        <v>529</v>
      </c>
      <c r="T62" s="122"/>
    </row>
    <row r="63" spans="1:20" x14ac:dyDescent="0.4">
      <c r="A63" s="92" t="s">
        <v>609</v>
      </c>
      <c r="B63" s="92">
        <v>45925</v>
      </c>
      <c r="C63" s="92" t="s">
        <v>337</v>
      </c>
      <c r="D63" s="92" t="s">
        <v>610</v>
      </c>
      <c r="E63" s="92"/>
      <c r="F63" s="92"/>
      <c r="G63" s="93" t="s">
        <v>611</v>
      </c>
      <c r="H63" s="11" t="s">
        <v>582</v>
      </c>
      <c r="I63" s="92" t="s">
        <v>612</v>
      </c>
      <c r="J63" s="97" t="s">
        <v>213</v>
      </c>
      <c r="K63" s="95">
        <v>24.7</v>
      </c>
      <c r="L63" s="96">
        <v>3.2</v>
      </c>
      <c r="M63" s="96">
        <v>8.4</v>
      </c>
      <c r="N63" s="96">
        <v>0.16</v>
      </c>
      <c r="O63" s="96">
        <v>2.38</v>
      </c>
      <c r="P63" s="96">
        <v>0</v>
      </c>
      <c r="Q63" s="94">
        <v>1817</v>
      </c>
      <c r="R63" s="94">
        <v>919</v>
      </c>
      <c r="S63" s="105" t="s">
        <v>529</v>
      </c>
      <c r="T63" s="122"/>
    </row>
    <row r="64" spans="1:20" x14ac:dyDescent="0.4">
      <c r="A64" s="92" t="s">
        <v>613</v>
      </c>
      <c r="B64" s="92">
        <v>45926</v>
      </c>
      <c r="C64" s="92" t="s">
        <v>240</v>
      </c>
      <c r="D64" s="92"/>
      <c r="E64" s="92"/>
      <c r="F64" s="92"/>
      <c r="G64" s="93" t="s">
        <v>614</v>
      </c>
      <c r="H64" s="11" t="s">
        <v>615</v>
      </c>
      <c r="I64" s="92" t="s">
        <v>239</v>
      </c>
      <c r="J64" s="97" t="s">
        <v>230</v>
      </c>
      <c r="K64" s="95">
        <v>22.4</v>
      </c>
      <c r="L64" s="96">
        <v>3.58</v>
      </c>
      <c r="M64" s="96">
        <v>5.4</v>
      </c>
      <c r="N64" s="96">
        <v>0.27</v>
      </c>
      <c r="O64" s="96">
        <v>1.95</v>
      </c>
      <c r="P64" s="96">
        <v>0.05</v>
      </c>
      <c r="Q64" s="97" t="s">
        <v>204</v>
      </c>
      <c r="R64" s="97" t="s">
        <v>204</v>
      </c>
      <c r="S64" s="122"/>
      <c r="T64" s="122"/>
    </row>
    <row r="65" spans="1:20" x14ac:dyDescent="0.4">
      <c r="A65" s="92" t="s">
        <v>616</v>
      </c>
      <c r="B65" s="92">
        <v>45926</v>
      </c>
      <c r="C65" s="92" t="s">
        <v>341</v>
      </c>
      <c r="D65" s="92"/>
      <c r="E65" s="92"/>
      <c r="F65" s="92"/>
      <c r="G65" s="93" t="s">
        <v>617</v>
      </c>
      <c r="H65" s="11" t="s">
        <v>464</v>
      </c>
      <c r="I65" s="92" t="s">
        <v>229</v>
      </c>
      <c r="J65" s="97" t="s">
        <v>310</v>
      </c>
      <c r="K65" s="95">
        <v>22.5</v>
      </c>
      <c r="L65" s="96">
        <v>3.45</v>
      </c>
      <c r="M65" s="96">
        <v>5.55</v>
      </c>
      <c r="N65" s="96">
        <v>0.35</v>
      </c>
      <c r="O65" s="96">
        <v>1.57</v>
      </c>
      <c r="P65" s="96">
        <v>0.3</v>
      </c>
      <c r="Q65" s="94">
        <v>1572</v>
      </c>
      <c r="R65" s="94">
        <v>586</v>
      </c>
      <c r="S65" s="105" t="s">
        <v>529</v>
      </c>
      <c r="T65" s="122"/>
    </row>
    <row r="66" spans="1:20" x14ac:dyDescent="0.4">
      <c r="A66" s="92" t="s">
        <v>618</v>
      </c>
      <c r="B66" s="92">
        <v>45926</v>
      </c>
      <c r="C66" s="92" t="s">
        <v>343</v>
      </c>
      <c r="D66" s="92"/>
      <c r="E66" s="92"/>
      <c r="F66" s="92"/>
      <c r="G66" s="93" t="s">
        <v>619</v>
      </c>
      <c r="H66" s="11" t="s">
        <v>452</v>
      </c>
      <c r="I66" s="92" t="s">
        <v>229</v>
      </c>
      <c r="J66" s="97" t="s">
        <v>310</v>
      </c>
      <c r="K66" s="95">
        <v>22.3</v>
      </c>
      <c r="L66" s="97">
        <v>3.57</v>
      </c>
      <c r="M66" s="97">
        <v>4.5</v>
      </c>
      <c r="N66" s="97">
        <v>0.08</v>
      </c>
      <c r="O66" s="97">
        <v>1.89</v>
      </c>
      <c r="P66" s="97">
        <v>0.01</v>
      </c>
      <c r="Q66" s="94">
        <v>1641</v>
      </c>
      <c r="R66" s="94">
        <v>625</v>
      </c>
      <c r="S66" s="105" t="s">
        <v>529</v>
      </c>
      <c r="T66" s="122"/>
    </row>
    <row r="67" spans="1:20" x14ac:dyDescent="0.4">
      <c r="A67" s="92" t="s">
        <v>620</v>
      </c>
      <c r="B67" s="92">
        <v>45927</v>
      </c>
      <c r="C67" s="92" t="s">
        <v>343</v>
      </c>
      <c r="D67" s="92"/>
      <c r="E67" s="92"/>
      <c r="F67" s="92"/>
      <c r="G67" s="93" t="s">
        <v>619</v>
      </c>
      <c r="H67" s="11" t="s">
        <v>452</v>
      </c>
      <c r="I67" s="92" t="s">
        <v>229</v>
      </c>
      <c r="J67" s="97" t="s">
        <v>310</v>
      </c>
      <c r="K67" s="95">
        <v>22.6</v>
      </c>
      <c r="L67" s="97">
        <v>3.24</v>
      </c>
      <c r="M67" s="97">
        <v>7.65</v>
      </c>
      <c r="N67" s="97">
        <v>0.06</v>
      </c>
      <c r="O67" s="97">
        <v>1.89</v>
      </c>
      <c r="P67" s="97">
        <v>0.01</v>
      </c>
      <c r="Q67" s="94">
        <v>1641</v>
      </c>
      <c r="R67" s="94">
        <v>625</v>
      </c>
      <c r="S67" s="105" t="s">
        <v>529</v>
      </c>
      <c r="T67" s="122"/>
    </row>
    <row r="68" spans="1:20" x14ac:dyDescent="0.4">
      <c r="A68" s="92" t="s">
        <v>621</v>
      </c>
      <c r="B68" s="92">
        <v>45927</v>
      </c>
      <c r="C68" s="92" t="s">
        <v>622</v>
      </c>
      <c r="D68" s="92"/>
      <c r="E68" s="92"/>
      <c r="F68" s="92"/>
      <c r="G68" s="93" t="s">
        <v>623</v>
      </c>
      <c r="H68" s="98" t="s">
        <v>569</v>
      </c>
      <c r="I68" s="92" t="s">
        <v>229</v>
      </c>
      <c r="J68" s="94" t="s">
        <v>230</v>
      </c>
      <c r="K68" s="95">
        <v>20.8</v>
      </c>
      <c r="L68" s="97">
        <v>4.1100000000000003</v>
      </c>
      <c r="M68" s="96">
        <v>4.3499999999999996</v>
      </c>
      <c r="N68" s="96">
        <v>0.06</v>
      </c>
      <c r="O68" s="96">
        <v>2.96</v>
      </c>
      <c r="P68" s="96">
        <v>0.08</v>
      </c>
      <c r="Q68" s="97" t="s">
        <v>204</v>
      </c>
      <c r="R68" s="97" t="s">
        <v>204</v>
      </c>
      <c r="S68" s="122"/>
      <c r="T68" s="122"/>
    </row>
    <row r="69" spans="1:20" x14ac:dyDescent="0.4">
      <c r="A69" s="92" t="s">
        <v>624</v>
      </c>
      <c r="B69" s="92">
        <v>45927</v>
      </c>
      <c r="C69" s="92" t="s">
        <v>347</v>
      </c>
      <c r="D69" s="92"/>
      <c r="E69" s="92"/>
      <c r="F69" s="92"/>
      <c r="G69" s="93" t="s">
        <v>625</v>
      </c>
      <c r="H69" s="98" t="s">
        <v>498</v>
      </c>
      <c r="I69" s="92" t="s">
        <v>239</v>
      </c>
      <c r="J69" s="94" t="s">
        <v>259</v>
      </c>
      <c r="K69" s="95">
        <v>23.5</v>
      </c>
      <c r="L69" s="97">
        <v>3.82</v>
      </c>
      <c r="M69" s="96">
        <v>4.3499999999999996</v>
      </c>
      <c r="N69" s="96">
        <v>0.36</v>
      </c>
      <c r="O69" s="96">
        <v>2.59</v>
      </c>
      <c r="P69" s="96">
        <v>0.01</v>
      </c>
      <c r="Q69" s="94">
        <v>2168</v>
      </c>
      <c r="R69" s="94">
        <v>589</v>
      </c>
      <c r="S69" s="105" t="s">
        <v>529</v>
      </c>
      <c r="T69" s="122"/>
    </row>
    <row r="70" spans="1:20" x14ac:dyDescent="0.4">
      <c r="A70" s="92" t="s">
        <v>626</v>
      </c>
      <c r="B70" s="92">
        <v>45927</v>
      </c>
      <c r="C70" s="92" t="s">
        <v>347</v>
      </c>
      <c r="D70" s="92"/>
      <c r="E70" s="92"/>
      <c r="F70" s="92"/>
      <c r="G70" s="93" t="s">
        <v>627</v>
      </c>
      <c r="H70" s="98" t="s">
        <v>575</v>
      </c>
      <c r="I70" s="92" t="s">
        <v>239</v>
      </c>
      <c r="J70" s="94" t="s">
        <v>259</v>
      </c>
      <c r="K70" s="95">
        <v>23.4</v>
      </c>
      <c r="L70" s="97">
        <v>3.87</v>
      </c>
      <c r="M70" s="96">
        <v>4.05</v>
      </c>
      <c r="N70" s="96">
        <v>0.36</v>
      </c>
      <c r="O70" s="96">
        <v>2.5</v>
      </c>
      <c r="P70" s="96">
        <v>0.02</v>
      </c>
      <c r="Q70" s="94">
        <v>2009</v>
      </c>
      <c r="R70" s="94">
        <v>555</v>
      </c>
      <c r="S70" s="105" t="s">
        <v>529</v>
      </c>
      <c r="T70" s="122"/>
    </row>
    <row r="71" spans="1:20" x14ac:dyDescent="0.4">
      <c r="A71" s="92" t="s">
        <v>628</v>
      </c>
      <c r="B71" s="92">
        <v>45928</v>
      </c>
      <c r="C71" s="92" t="s">
        <v>347</v>
      </c>
      <c r="D71" s="92"/>
      <c r="E71" s="92"/>
      <c r="F71" s="92"/>
      <c r="G71" s="93" t="s">
        <v>625</v>
      </c>
      <c r="H71" s="98" t="s">
        <v>498</v>
      </c>
      <c r="I71" s="92" t="s">
        <v>239</v>
      </c>
      <c r="J71" s="94" t="s">
        <v>259</v>
      </c>
      <c r="K71" s="95">
        <v>23.3</v>
      </c>
      <c r="L71" s="97">
        <v>3.8</v>
      </c>
      <c r="M71" s="96">
        <v>4.8</v>
      </c>
      <c r="N71" s="96">
        <v>0.34</v>
      </c>
      <c r="O71" s="96">
        <v>2.6</v>
      </c>
      <c r="P71" s="96">
        <v>0.02</v>
      </c>
      <c r="Q71" s="94">
        <v>2168</v>
      </c>
      <c r="R71" s="94">
        <v>589</v>
      </c>
      <c r="S71" s="105" t="s">
        <v>529</v>
      </c>
      <c r="T71" s="122"/>
    </row>
    <row r="72" spans="1:20" x14ac:dyDescent="0.4">
      <c r="A72" s="92" t="s">
        <v>629</v>
      </c>
      <c r="B72" s="92">
        <v>45928</v>
      </c>
      <c r="C72" s="92" t="s">
        <v>347</v>
      </c>
      <c r="D72" s="101"/>
      <c r="E72" s="101"/>
      <c r="F72" s="101"/>
      <c r="G72" s="93" t="s">
        <v>627</v>
      </c>
      <c r="H72" s="98" t="s">
        <v>575</v>
      </c>
      <c r="I72" s="102" t="s">
        <v>239</v>
      </c>
      <c r="J72" s="94" t="s">
        <v>259</v>
      </c>
      <c r="K72" s="103">
        <v>23.3</v>
      </c>
      <c r="L72" s="104">
        <v>3.83</v>
      </c>
      <c r="M72" s="96">
        <v>4.6500000000000004</v>
      </c>
      <c r="N72" s="100">
        <v>0.36</v>
      </c>
      <c r="O72" s="96">
        <v>2.64</v>
      </c>
      <c r="P72" s="96">
        <v>0.01</v>
      </c>
      <c r="Q72" s="94">
        <v>2009</v>
      </c>
      <c r="R72" s="94">
        <v>555</v>
      </c>
      <c r="S72" s="105" t="s">
        <v>529</v>
      </c>
      <c r="T72" s="122"/>
    </row>
    <row r="73" spans="1:20" x14ac:dyDescent="0.4">
      <c r="A73" s="92" t="s">
        <v>630</v>
      </c>
      <c r="B73" s="92">
        <v>45928</v>
      </c>
      <c r="C73" s="102" t="s">
        <v>318</v>
      </c>
      <c r="D73" s="102" t="s">
        <v>322</v>
      </c>
      <c r="E73" s="102"/>
      <c r="F73" s="102"/>
      <c r="G73" s="93" t="s">
        <v>631</v>
      </c>
      <c r="H73" s="98" t="s">
        <v>586</v>
      </c>
      <c r="I73" s="102" t="s">
        <v>216</v>
      </c>
      <c r="J73" s="94" t="s">
        <v>317</v>
      </c>
      <c r="K73" s="103">
        <v>20.5</v>
      </c>
      <c r="L73" s="97">
        <v>3.53</v>
      </c>
      <c r="M73" s="96">
        <v>5.4</v>
      </c>
      <c r="N73" s="96">
        <v>0.15</v>
      </c>
      <c r="O73" s="96">
        <v>1.83</v>
      </c>
      <c r="P73" s="96">
        <v>0.01</v>
      </c>
      <c r="Q73" s="94" t="s">
        <v>204</v>
      </c>
      <c r="R73" s="94" t="s">
        <v>204</v>
      </c>
      <c r="S73" s="105" t="s">
        <v>632</v>
      </c>
      <c r="T73" s="122"/>
    </row>
    <row r="74" spans="1:20" x14ac:dyDescent="0.4">
      <c r="A74" s="92" t="s">
        <v>633</v>
      </c>
      <c r="B74" s="92">
        <v>45929</v>
      </c>
      <c r="C74" s="102" t="s">
        <v>315</v>
      </c>
      <c r="D74" s="102"/>
      <c r="E74" s="102"/>
      <c r="F74" s="102"/>
      <c r="G74" s="93" t="s">
        <v>634</v>
      </c>
      <c r="H74" s="98" t="s">
        <v>508</v>
      </c>
      <c r="I74" s="102" t="s">
        <v>216</v>
      </c>
      <c r="J74" s="94" t="s">
        <v>310</v>
      </c>
      <c r="K74" s="103">
        <v>21.9</v>
      </c>
      <c r="L74" s="97">
        <v>3.58</v>
      </c>
      <c r="M74" s="96">
        <v>4.5</v>
      </c>
      <c r="N74" s="96">
        <v>0.21</v>
      </c>
      <c r="O74" s="96">
        <v>1.46</v>
      </c>
      <c r="P74" s="96">
        <v>0</v>
      </c>
      <c r="Q74" s="94">
        <v>1361</v>
      </c>
      <c r="R74" s="94">
        <v>777</v>
      </c>
      <c r="S74" s="105" t="s">
        <v>514</v>
      </c>
      <c r="T74" s="122"/>
    </row>
    <row r="75" spans="1:20" x14ac:dyDescent="0.4">
      <c r="A75" s="92" t="s">
        <v>635</v>
      </c>
      <c r="B75" s="92">
        <v>45929</v>
      </c>
      <c r="C75" s="102" t="s">
        <v>636</v>
      </c>
      <c r="D75" s="102"/>
      <c r="E75" s="102"/>
      <c r="F75" s="102"/>
      <c r="G75" s="93" t="s">
        <v>637</v>
      </c>
      <c r="H75" s="98" t="s">
        <v>517</v>
      </c>
      <c r="I75" s="102" t="s">
        <v>216</v>
      </c>
      <c r="J75" s="94" t="s">
        <v>259</v>
      </c>
      <c r="K75" s="103">
        <v>22</v>
      </c>
      <c r="L75" s="97">
        <v>3.69</v>
      </c>
      <c r="M75" s="96">
        <v>6.15</v>
      </c>
      <c r="N75" s="96">
        <v>1.88</v>
      </c>
      <c r="O75" s="96">
        <v>3.27</v>
      </c>
      <c r="P75" s="96">
        <v>0.56999999999999995</v>
      </c>
      <c r="Q75" s="94" t="s">
        <v>204</v>
      </c>
      <c r="R75" s="94" t="s">
        <v>204</v>
      </c>
      <c r="S75" s="122"/>
      <c r="T75" s="122"/>
    </row>
    <row r="76" spans="1:20" x14ac:dyDescent="0.4">
      <c r="A76" s="92" t="s">
        <v>638</v>
      </c>
      <c r="B76" s="92">
        <v>45929</v>
      </c>
      <c r="C76" s="102" t="s">
        <v>636</v>
      </c>
      <c r="D76" s="102"/>
      <c r="E76" s="102"/>
      <c r="F76" s="102"/>
      <c r="G76" s="93" t="s">
        <v>639</v>
      </c>
      <c r="H76" s="98" t="s">
        <v>640</v>
      </c>
      <c r="I76" s="102" t="s">
        <v>216</v>
      </c>
      <c r="J76" s="97" t="s">
        <v>259</v>
      </c>
      <c r="K76" s="103">
        <v>19.3</v>
      </c>
      <c r="L76" s="97">
        <v>4.22</v>
      </c>
      <c r="M76" s="97">
        <v>3.45</v>
      </c>
      <c r="N76" s="97">
        <v>0.46</v>
      </c>
      <c r="O76" s="97">
        <v>0.98</v>
      </c>
      <c r="P76" s="96">
        <v>0</v>
      </c>
      <c r="Q76" s="94" t="s">
        <v>204</v>
      </c>
      <c r="R76" s="94" t="s">
        <v>204</v>
      </c>
      <c r="S76" s="122"/>
      <c r="T76" s="105"/>
    </row>
    <row r="77" spans="1:20" x14ac:dyDescent="0.4">
      <c r="A77" s="92" t="s">
        <v>641</v>
      </c>
      <c r="B77" s="92">
        <v>45930</v>
      </c>
      <c r="C77" s="102" t="s">
        <v>351</v>
      </c>
      <c r="D77" s="102"/>
      <c r="E77" s="102"/>
      <c r="F77" s="102"/>
      <c r="G77" s="93" t="s">
        <v>642</v>
      </c>
      <c r="H77" s="11" t="s">
        <v>586</v>
      </c>
      <c r="I77" s="102" t="s">
        <v>239</v>
      </c>
      <c r="J77" s="97" t="s">
        <v>213</v>
      </c>
      <c r="K77" s="103">
        <v>23.5</v>
      </c>
      <c r="L77" s="97">
        <v>3.23</v>
      </c>
      <c r="M77" s="97">
        <v>9.15</v>
      </c>
      <c r="N77" s="97">
        <v>0.42</v>
      </c>
      <c r="O77" s="97">
        <v>3.56</v>
      </c>
      <c r="P77" s="97">
        <v>0.02</v>
      </c>
      <c r="Q77" s="94">
        <v>1859</v>
      </c>
      <c r="R77" s="94">
        <v>793</v>
      </c>
      <c r="S77" s="105" t="s">
        <v>529</v>
      </c>
      <c r="T77" s="122"/>
    </row>
    <row r="78" spans="1:20" x14ac:dyDescent="0.4">
      <c r="A78" s="92" t="s">
        <v>643</v>
      </c>
      <c r="B78" s="92">
        <v>45930</v>
      </c>
      <c r="C78" s="102" t="s">
        <v>351</v>
      </c>
      <c r="D78" s="102"/>
      <c r="E78" s="102"/>
      <c r="F78" s="102"/>
      <c r="G78" s="93" t="s">
        <v>644</v>
      </c>
      <c r="H78" s="98" t="s">
        <v>565</v>
      </c>
      <c r="I78" s="102" t="s">
        <v>239</v>
      </c>
      <c r="J78" s="97" t="s">
        <v>213</v>
      </c>
      <c r="K78" s="103">
        <v>23.2</v>
      </c>
      <c r="L78" s="97">
        <v>3.66</v>
      </c>
      <c r="M78" s="97">
        <v>5.85</v>
      </c>
      <c r="N78" s="97">
        <v>0.18</v>
      </c>
      <c r="O78" s="97">
        <v>3.25</v>
      </c>
      <c r="P78" s="96">
        <v>0</v>
      </c>
      <c r="Q78" s="94">
        <v>1771</v>
      </c>
      <c r="R78" s="94">
        <v>786</v>
      </c>
      <c r="S78" s="105" t="s">
        <v>529</v>
      </c>
      <c r="T78" s="122"/>
    </row>
    <row r="79" spans="1:20" x14ac:dyDescent="0.4">
      <c r="A79" s="92" t="s">
        <v>645</v>
      </c>
      <c r="B79" s="102">
        <v>45931</v>
      </c>
      <c r="C79" s="102" t="s">
        <v>646</v>
      </c>
      <c r="D79" s="102" t="s">
        <v>355</v>
      </c>
      <c r="E79" s="102" t="s">
        <v>359</v>
      </c>
      <c r="F79" s="102"/>
      <c r="G79" s="93" t="s">
        <v>647</v>
      </c>
      <c r="H79" s="98" t="s">
        <v>459</v>
      </c>
      <c r="I79" s="102" t="s">
        <v>250</v>
      </c>
      <c r="J79" s="97" t="s">
        <v>251</v>
      </c>
      <c r="K79" s="103">
        <v>22</v>
      </c>
      <c r="L79" s="96">
        <v>3.68</v>
      </c>
      <c r="M79" s="96">
        <v>4.5</v>
      </c>
      <c r="N79" s="97">
        <v>0.06</v>
      </c>
      <c r="O79" s="97">
        <v>1.88</v>
      </c>
      <c r="P79" s="96">
        <v>0.06</v>
      </c>
      <c r="Q79" s="94" t="s">
        <v>204</v>
      </c>
      <c r="R79" s="94" t="s">
        <v>204</v>
      </c>
      <c r="S79" s="122"/>
      <c r="T79" s="122"/>
    </row>
    <row r="80" spans="1:20" x14ac:dyDescent="0.4">
      <c r="A80" s="92" t="s">
        <v>648</v>
      </c>
      <c r="B80" s="102">
        <v>45931</v>
      </c>
      <c r="C80" s="102" t="s">
        <v>646</v>
      </c>
      <c r="D80" s="102" t="s">
        <v>355</v>
      </c>
      <c r="E80" s="102"/>
      <c r="F80" s="102"/>
      <c r="G80" s="93" t="s">
        <v>649</v>
      </c>
      <c r="H80" s="98" t="s">
        <v>650</v>
      </c>
      <c r="I80" s="102" t="s">
        <v>250</v>
      </c>
      <c r="J80" s="97" t="s">
        <v>251</v>
      </c>
      <c r="K80" s="103">
        <v>21.7</v>
      </c>
      <c r="L80" s="96">
        <v>4.07</v>
      </c>
      <c r="M80" s="96">
        <v>4.2</v>
      </c>
      <c r="N80" s="97">
        <v>0.08</v>
      </c>
      <c r="O80" s="97">
        <v>1.91</v>
      </c>
      <c r="P80" s="96">
        <v>0.05</v>
      </c>
      <c r="Q80" s="94" t="s">
        <v>204</v>
      </c>
      <c r="R80" s="94" t="s">
        <v>204</v>
      </c>
      <c r="S80" s="122"/>
      <c r="T80" s="122"/>
    </row>
    <row r="81" spans="1:20" x14ac:dyDescent="0.4">
      <c r="A81" s="92" t="s">
        <v>651</v>
      </c>
      <c r="B81" s="102">
        <v>45934</v>
      </c>
      <c r="C81" s="102" t="s">
        <v>359</v>
      </c>
      <c r="D81" s="102" t="s">
        <v>361</v>
      </c>
      <c r="E81" s="102"/>
      <c r="F81" s="102"/>
      <c r="G81" s="93" t="s">
        <v>652</v>
      </c>
      <c r="H81" s="98" t="s">
        <v>601</v>
      </c>
      <c r="I81" s="102" t="s">
        <v>250</v>
      </c>
      <c r="J81" s="94" t="s">
        <v>251</v>
      </c>
      <c r="K81" s="103">
        <v>21.4</v>
      </c>
      <c r="L81" s="96">
        <v>3.7</v>
      </c>
      <c r="M81" s="96">
        <v>4.6500000000000004</v>
      </c>
      <c r="N81" s="97">
        <v>0.06</v>
      </c>
      <c r="O81" s="97">
        <v>2.46</v>
      </c>
      <c r="P81" s="96">
        <v>0</v>
      </c>
      <c r="Q81" s="94" t="s">
        <v>204</v>
      </c>
      <c r="R81" s="94" t="s">
        <v>204</v>
      </c>
      <c r="S81" s="122"/>
      <c r="T81" s="122"/>
    </row>
    <row r="82" spans="1:20" x14ac:dyDescent="0.4">
      <c r="A82" s="92" t="s">
        <v>653</v>
      </c>
      <c r="B82" s="102">
        <v>45934</v>
      </c>
      <c r="C82" s="102" t="s">
        <v>355</v>
      </c>
      <c r="D82" s="102" t="s">
        <v>359</v>
      </c>
      <c r="E82" s="102" t="s">
        <v>361</v>
      </c>
      <c r="F82" s="102"/>
      <c r="G82" s="93" t="s">
        <v>649</v>
      </c>
      <c r="H82" s="98" t="s">
        <v>517</v>
      </c>
      <c r="I82" s="102" t="s">
        <v>250</v>
      </c>
      <c r="J82" s="94" t="s">
        <v>251</v>
      </c>
      <c r="K82" s="103">
        <v>20.9</v>
      </c>
      <c r="L82" s="96">
        <v>3.64</v>
      </c>
      <c r="M82" s="96">
        <v>5.7</v>
      </c>
      <c r="N82" s="97">
        <v>0.05</v>
      </c>
      <c r="O82" s="97">
        <v>2.62</v>
      </c>
      <c r="P82" s="96">
        <v>0.01</v>
      </c>
      <c r="Q82" s="94" t="s">
        <v>204</v>
      </c>
      <c r="R82" s="94" t="s">
        <v>204</v>
      </c>
      <c r="S82" s="122"/>
      <c r="T82" s="122"/>
    </row>
    <row r="83" spans="1:20" x14ac:dyDescent="0.4">
      <c r="A83" s="92" t="s">
        <v>654</v>
      </c>
      <c r="B83" s="102">
        <v>45937</v>
      </c>
      <c r="C83" s="106" t="s">
        <v>364</v>
      </c>
      <c r="D83" s="106"/>
      <c r="E83" s="106"/>
      <c r="F83" s="106"/>
      <c r="G83" s="93" t="s">
        <v>655</v>
      </c>
      <c r="H83" s="98" t="s">
        <v>452</v>
      </c>
      <c r="I83" s="21" t="s">
        <v>216</v>
      </c>
      <c r="J83" s="97" t="s">
        <v>363</v>
      </c>
      <c r="K83" s="103">
        <v>21.2</v>
      </c>
      <c r="L83" s="97">
        <v>3.45</v>
      </c>
      <c r="M83" s="97">
        <v>7.35</v>
      </c>
      <c r="N83" s="97">
        <v>0.59</v>
      </c>
      <c r="O83" s="97">
        <v>3.03</v>
      </c>
      <c r="P83" s="97">
        <v>0.04</v>
      </c>
      <c r="Q83" s="94">
        <v>2183</v>
      </c>
      <c r="R83" s="94">
        <v>870</v>
      </c>
      <c r="S83" s="105" t="s">
        <v>529</v>
      </c>
      <c r="T83" s="122"/>
    </row>
    <row r="84" spans="1:20" x14ac:dyDescent="0.4">
      <c r="A84" s="92" t="s">
        <v>656</v>
      </c>
      <c r="B84" s="102">
        <v>45937</v>
      </c>
      <c r="C84" s="106" t="s">
        <v>364</v>
      </c>
      <c r="D84" s="106"/>
      <c r="E84" s="106"/>
      <c r="F84" s="106"/>
      <c r="G84" s="93" t="s">
        <v>657</v>
      </c>
      <c r="H84" s="98" t="s">
        <v>658</v>
      </c>
      <c r="I84" s="21" t="s">
        <v>216</v>
      </c>
      <c r="J84" s="97" t="s">
        <v>363</v>
      </c>
      <c r="K84" s="103">
        <v>21.7</v>
      </c>
      <c r="L84" s="97">
        <v>3.66</v>
      </c>
      <c r="M84" s="96">
        <v>6</v>
      </c>
      <c r="N84" s="97">
        <v>0.42</v>
      </c>
      <c r="O84" s="97">
        <v>3.06</v>
      </c>
      <c r="P84" s="97">
        <v>0.03</v>
      </c>
      <c r="Q84" s="94">
        <v>2855</v>
      </c>
      <c r="R84" s="94">
        <v>868</v>
      </c>
      <c r="S84" s="105" t="s">
        <v>529</v>
      </c>
      <c r="T84" s="122"/>
    </row>
    <row r="85" spans="1:20" x14ac:dyDescent="0.4">
      <c r="A85" s="92" t="s">
        <v>659</v>
      </c>
      <c r="B85" s="102">
        <v>45938</v>
      </c>
      <c r="C85" s="106" t="s">
        <v>367</v>
      </c>
      <c r="D85" s="106"/>
      <c r="E85" s="106"/>
      <c r="F85" s="106"/>
      <c r="G85" s="93" t="s">
        <v>660</v>
      </c>
      <c r="H85" s="98" t="s">
        <v>601</v>
      </c>
      <c r="I85" s="106" t="s">
        <v>216</v>
      </c>
      <c r="J85" s="97" t="s">
        <v>661</v>
      </c>
      <c r="K85" s="103">
        <v>22.4</v>
      </c>
      <c r="L85" s="97">
        <v>3.62</v>
      </c>
      <c r="M85" s="97">
        <v>7.8</v>
      </c>
      <c r="N85" s="97">
        <v>1.24</v>
      </c>
      <c r="O85" s="97">
        <v>4.3899999999999997</v>
      </c>
      <c r="P85" s="97">
        <v>0.27</v>
      </c>
      <c r="Q85" s="94">
        <v>3316</v>
      </c>
      <c r="R85" s="94">
        <v>1314</v>
      </c>
      <c r="S85" s="105" t="s">
        <v>529</v>
      </c>
      <c r="T85" s="122"/>
    </row>
    <row r="86" spans="1:20" x14ac:dyDescent="0.4">
      <c r="A86" s="92" t="s">
        <v>662</v>
      </c>
      <c r="B86" s="106">
        <v>45940</v>
      </c>
      <c r="C86" s="102" t="s">
        <v>369</v>
      </c>
      <c r="D86" s="107"/>
      <c r="E86" s="107"/>
      <c r="F86" s="107"/>
      <c r="G86" s="93" t="s">
        <v>663</v>
      </c>
      <c r="H86" s="98" t="s">
        <v>664</v>
      </c>
      <c r="I86" s="102" t="s">
        <v>229</v>
      </c>
      <c r="J86" s="94" t="s">
        <v>661</v>
      </c>
      <c r="K86" s="103">
        <v>23.5</v>
      </c>
      <c r="L86" s="108">
        <v>3.85</v>
      </c>
      <c r="M86" s="109">
        <v>6.45</v>
      </c>
      <c r="N86" s="110">
        <v>0.52</v>
      </c>
      <c r="O86" s="97">
        <v>4.33</v>
      </c>
      <c r="P86" s="96">
        <v>0.03</v>
      </c>
      <c r="Q86" s="94">
        <v>3523</v>
      </c>
      <c r="R86" s="94">
        <v>1027</v>
      </c>
      <c r="S86" s="105" t="s">
        <v>529</v>
      </c>
      <c r="T86" s="122"/>
    </row>
    <row r="87" spans="1:20" x14ac:dyDescent="0.4">
      <c r="A87" s="92" t="s">
        <v>665</v>
      </c>
      <c r="B87" s="106">
        <v>45940</v>
      </c>
      <c r="C87" s="102" t="s">
        <v>318</v>
      </c>
      <c r="D87" s="106"/>
      <c r="E87" s="106"/>
      <c r="F87" s="106"/>
      <c r="G87" s="93" t="s">
        <v>666</v>
      </c>
      <c r="H87" s="98" t="s">
        <v>575</v>
      </c>
      <c r="I87" s="102" t="s">
        <v>216</v>
      </c>
      <c r="J87" s="94" t="s">
        <v>317</v>
      </c>
      <c r="K87" s="103">
        <v>23.5</v>
      </c>
      <c r="L87" s="97">
        <v>3.18</v>
      </c>
      <c r="M87" s="96">
        <v>8.1</v>
      </c>
      <c r="N87" s="110">
        <v>0.1</v>
      </c>
      <c r="O87" s="97">
        <v>1.27</v>
      </c>
      <c r="P87" s="96">
        <v>0</v>
      </c>
      <c r="Q87" s="94">
        <v>1127</v>
      </c>
      <c r="R87" s="94">
        <v>679</v>
      </c>
      <c r="S87" s="105" t="s">
        <v>529</v>
      </c>
      <c r="T87" s="122"/>
    </row>
    <row r="88" spans="1:20" x14ac:dyDescent="0.4">
      <c r="A88" s="92" t="s">
        <v>667</v>
      </c>
      <c r="B88" s="106">
        <v>45941</v>
      </c>
      <c r="C88" s="106" t="s">
        <v>260</v>
      </c>
      <c r="D88" s="106"/>
      <c r="E88" s="106"/>
      <c r="F88" s="106"/>
      <c r="G88" s="93" t="s">
        <v>668</v>
      </c>
      <c r="H88" s="98" t="s">
        <v>508</v>
      </c>
      <c r="I88" s="102" t="s">
        <v>216</v>
      </c>
      <c r="J88" s="94" t="s">
        <v>259</v>
      </c>
      <c r="K88" s="103">
        <v>24</v>
      </c>
      <c r="L88" s="97">
        <v>3.46</v>
      </c>
      <c r="M88" s="96">
        <v>6.9</v>
      </c>
      <c r="N88" s="110">
        <v>1.3</v>
      </c>
      <c r="O88" s="97">
        <v>2.4300000000000002</v>
      </c>
      <c r="P88" s="96">
        <v>0.2</v>
      </c>
      <c r="Q88" s="94">
        <v>1444</v>
      </c>
      <c r="R88" s="94">
        <v>600</v>
      </c>
      <c r="S88" s="105" t="s">
        <v>529</v>
      </c>
      <c r="T88" s="122"/>
    </row>
    <row r="89" spans="1:20" x14ac:dyDescent="0.4">
      <c r="A89" s="92" t="s">
        <v>669</v>
      </c>
      <c r="B89" s="106">
        <v>45941</v>
      </c>
      <c r="C89" s="102" t="s">
        <v>373</v>
      </c>
      <c r="D89" s="102" t="s">
        <v>351</v>
      </c>
      <c r="E89" s="106"/>
      <c r="F89" s="106"/>
      <c r="G89" s="93" t="s">
        <v>670</v>
      </c>
      <c r="H89" s="98" t="s">
        <v>671</v>
      </c>
      <c r="I89" s="102" t="s">
        <v>239</v>
      </c>
      <c r="J89" s="94" t="s">
        <v>299</v>
      </c>
      <c r="K89" s="103">
        <v>22.4</v>
      </c>
      <c r="L89" s="97">
        <v>3.49</v>
      </c>
      <c r="M89" s="96">
        <v>5.85</v>
      </c>
      <c r="N89" s="110">
        <v>0.45</v>
      </c>
      <c r="O89" s="97">
        <v>1.97</v>
      </c>
      <c r="P89" s="96">
        <v>0</v>
      </c>
      <c r="Q89" s="94">
        <v>1648</v>
      </c>
      <c r="R89" s="94">
        <v>666</v>
      </c>
      <c r="S89" s="105" t="s">
        <v>529</v>
      </c>
      <c r="T89" s="122">
        <v>140</v>
      </c>
    </row>
    <row r="90" spans="1:20" x14ac:dyDescent="0.4">
      <c r="A90" s="92" t="s">
        <v>672</v>
      </c>
      <c r="B90" s="106">
        <v>45941</v>
      </c>
      <c r="C90" s="102" t="s">
        <v>351</v>
      </c>
      <c r="D90" s="102" t="s">
        <v>673</v>
      </c>
      <c r="E90" s="106"/>
      <c r="F90" s="106"/>
      <c r="G90" s="93" t="s">
        <v>674</v>
      </c>
      <c r="H90" s="98" t="s">
        <v>572</v>
      </c>
      <c r="I90" s="106" t="s">
        <v>216</v>
      </c>
      <c r="J90" s="97" t="s">
        <v>213</v>
      </c>
      <c r="K90" s="103">
        <v>22.4</v>
      </c>
      <c r="L90" s="97">
        <v>3.46</v>
      </c>
      <c r="M90" s="97">
        <v>6.45</v>
      </c>
      <c r="N90" s="104">
        <v>0.4</v>
      </c>
      <c r="O90" s="97">
        <v>2.5299999999999998</v>
      </c>
      <c r="P90" s="97">
        <v>0.05</v>
      </c>
      <c r="Q90" s="94">
        <v>1743</v>
      </c>
      <c r="R90" s="94">
        <v>657</v>
      </c>
      <c r="S90" s="105" t="s">
        <v>529</v>
      </c>
      <c r="T90" s="122">
        <v>100</v>
      </c>
    </row>
    <row r="91" spans="1:20" x14ac:dyDescent="0.4">
      <c r="A91" s="92" t="s">
        <v>675</v>
      </c>
      <c r="B91" s="106">
        <v>45942</v>
      </c>
      <c r="C91" s="102" t="s">
        <v>676</v>
      </c>
      <c r="D91" s="106"/>
      <c r="E91" s="106"/>
      <c r="F91" s="106"/>
      <c r="G91" s="93" t="s">
        <v>677</v>
      </c>
      <c r="H91" s="98" t="s">
        <v>543</v>
      </c>
      <c r="I91" s="106" t="s">
        <v>216</v>
      </c>
      <c r="J91" s="97" t="s">
        <v>213</v>
      </c>
      <c r="K91" s="103">
        <v>22.2</v>
      </c>
      <c r="L91" s="97">
        <v>3.46</v>
      </c>
      <c r="M91" s="100">
        <v>6.6</v>
      </c>
      <c r="N91" s="110">
        <v>0.73</v>
      </c>
      <c r="O91" s="96">
        <v>3.12</v>
      </c>
      <c r="P91" s="96">
        <v>0.03</v>
      </c>
      <c r="Q91" s="94">
        <v>1458</v>
      </c>
      <c r="R91" s="94">
        <v>876</v>
      </c>
      <c r="S91" s="105" t="s">
        <v>529</v>
      </c>
      <c r="T91" s="122">
        <v>110</v>
      </c>
    </row>
    <row r="92" spans="1:20" x14ac:dyDescent="0.4">
      <c r="A92" s="92" t="s">
        <v>678</v>
      </c>
      <c r="B92" s="106">
        <v>45942</v>
      </c>
      <c r="C92" s="102" t="s">
        <v>679</v>
      </c>
      <c r="D92" s="106"/>
      <c r="E92" s="106"/>
      <c r="F92" s="106"/>
      <c r="G92" s="93" t="s">
        <v>680</v>
      </c>
      <c r="H92" s="98" t="s">
        <v>528</v>
      </c>
      <c r="I92" s="106" t="s">
        <v>216</v>
      </c>
      <c r="J92" s="97" t="s">
        <v>213</v>
      </c>
      <c r="K92" s="103">
        <v>16.3</v>
      </c>
      <c r="L92" s="97">
        <v>3.84</v>
      </c>
      <c r="M92" s="96">
        <v>4.2</v>
      </c>
      <c r="N92" s="110">
        <v>0.31</v>
      </c>
      <c r="O92" s="96">
        <v>1.98</v>
      </c>
      <c r="P92" s="96">
        <v>0</v>
      </c>
      <c r="Q92" s="94">
        <v>1214</v>
      </c>
      <c r="R92" s="94">
        <v>657</v>
      </c>
      <c r="S92" s="105" t="s">
        <v>529</v>
      </c>
      <c r="T92" s="122">
        <v>2.8</v>
      </c>
    </row>
    <row r="93" spans="1:20" x14ac:dyDescent="0.4">
      <c r="A93" s="92" t="s">
        <v>681</v>
      </c>
      <c r="B93" s="106">
        <v>45942</v>
      </c>
      <c r="C93" s="102" t="s">
        <v>676</v>
      </c>
      <c r="D93" s="106"/>
      <c r="E93" s="106"/>
      <c r="F93" s="106"/>
      <c r="G93" s="93" t="s">
        <v>682</v>
      </c>
      <c r="H93" s="98" t="s">
        <v>683</v>
      </c>
      <c r="I93" s="106" t="s">
        <v>216</v>
      </c>
      <c r="J93" s="97" t="s">
        <v>213</v>
      </c>
      <c r="K93" s="103">
        <v>22.3</v>
      </c>
      <c r="L93" s="97">
        <v>3.65</v>
      </c>
      <c r="M93" s="96">
        <v>6.75</v>
      </c>
      <c r="N93" s="110">
        <v>0.32</v>
      </c>
      <c r="O93" s="96">
        <v>3.41</v>
      </c>
      <c r="P93" s="96">
        <v>0</v>
      </c>
      <c r="Q93" s="94">
        <v>1756</v>
      </c>
      <c r="R93" s="94">
        <v>783</v>
      </c>
      <c r="S93" s="105" t="s">
        <v>529</v>
      </c>
      <c r="T93" s="122">
        <v>80</v>
      </c>
    </row>
    <row r="94" spans="1:20" x14ac:dyDescent="0.4">
      <c r="A94" s="92" t="s">
        <v>684</v>
      </c>
      <c r="B94" s="106">
        <v>45942</v>
      </c>
      <c r="C94" s="102" t="s">
        <v>376</v>
      </c>
      <c r="D94" s="106"/>
      <c r="E94" s="106"/>
      <c r="F94" s="106"/>
      <c r="G94" s="93" t="s">
        <v>685</v>
      </c>
      <c r="H94" s="98" t="s">
        <v>464</v>
      </c>
      <c r="I94" s="106" t="s">
        <v>216</v>
      </c>
      <c r="J94" s="97" t="s">
        <v>363</v>
      </c>
      <c r="K94" s="103">
        <v>21.4</v>
      </c>
      <c r="L94" s="97">
        <v>3.34</v>
      </c>
      <c r="M94" s="96">
        <v>8.1</v>
      </c>
      <c r="N94" s="110">
        <v>1.94</v>
      </c>
      <c r="O94" s="96">
        <v>3.19</v>
      </c>
      <c r="P94" s="96">
        <v>0.52</v>
      </c>
      <c r="Q94" s="94">
        <v>1998</v>
      </c>
      <c r="R94" s="94">
        <v>868</v>
      </c>
      <c r="S94" s="105" t="s">
        <v>529</v>
      </c>
      <c r="T94" s="122"/>
    </row>
    <row r="95" spans="1:20" x14ac:dyDescent="0.4">
      <c r="A95" s="92" t="s">
        <v>686</v>
      </c>
      <c r="B95" s="102">
        <v>45944</v>
      </c>
      <c r="C95" s="106" t="s">
        <v>260</v>
      </c>
      <c r="D95" s="106"/>
      <c r="E95" s="106"/>
      <c r="F95" s="106"/>
      <c r="G95" s="93" t="s">
        <v>687</v>
      </c>
      <c r="H95" s="98" t="s">
        <v>688</v>
      </c>
      <c r="I95" s="102" t="s">
        <v>216</v>
      </c>
      <c r="J95" s="94" t="s">
        <v>259</v>
      </c>
      <c r="K95" s="103">
        <v>24.3</v>
      </c>
      <c r="L95" s="96">
        <v>3.38</v>
      </c>
      <c r="M95" s="96">
        <v>7.8</v>
      </c>
      <c r="N95" s="110">
        <v>1.1499999999999999</v>
      </c>
      <c r="O95" s="96">
        <v>2.34</v>
      </c>
      <c r="P95" s="96">
        <v>0.16</v>
      </c>
      <c r="Q95" s="94">
        <v>1366</v>
      </c>
      <c r="R95" s="94">
        <v>525</v>
      </c>
      <c r="S95" s="105" t="s">
        <v>529</v>
      </c>
      <c r="T95" s="122"/>
    </row>
    <row r="96" spans="1:20" x14ac:dyDescent="0.4">
      <c r="A96" s="92" t="s">
        <v>689</v>
      </c>
      <c r="B96" s="102">
        <v>45944</v>
      </c>
      <c r="C96" s="106" t="s">
        <v>260</v>
      </c>
      <c r="D96" s="106"/>
      <c r="E96" s="106"/>
      <c r="F96" s="106"/>
      <c r="G96" s="93" t="s">
        <v>690</v>
      </c>
      <c r="H96" s="98" t="s">
        <v>505</v>
      </c>
      <c r="I96" s="102" t="s">
        <v>216</v>
      </c>
      <c r="J96" s="94" t="s">
        <v>259</v>
      </c>
      <c r="K96" s="103">
        <v>24.1</v>
      </c>
      <c r="L96" s="96">
        <v>3.16</v>
      </c>
      <c r="M96" s="96">
        <v>8.85</v>
      </c>
      <c r="N96" s="110">
        <v>1.1299999999999999</v>
      </c>
      <c r="O96" s="96">
        <v>2.25</v>
      </c>
      <c r="P96" s="96">
        <v>0.06</v>
      </c>
      <c r="Q96" s="94">
        <v>1683</v>
      </c>
      <c r="R96" s="94">
        <v>576</v>
      </c>
      <c r="S96" s="105" t="s">
        <v>529</v>
      </c>
      <c r="T96" s="122"/>
    </row>
    <row r="97" spans="1:20" x14ac:dyDescent="0.4">
      <c r="A97" s="92" t="s">
        <v>691</v>
      </c>
      <c r="B97" s="102">
        <v>45944</v>
      </c>
      <c r="C97" s="102" t="s">
        <v>692</v>
      </c>
      <c r="D97" s="106"/>
      <c r="E97" s="106"/>
      <c r="F97" s="106"/>
      <c r="G97" s="93" t="s">
        <v>693</v>
      </c>
      <c r="H97" s="98" t="s">
        <v>694</v>
      </c>
      <c r="I97" s="102" t="s">
        <v>250</v>
      </c>
      <c r="J97" s="94" t="s">
        <v>251</v>
      </c>
      <c r="K97" s="103">
        <v>21.2</v>
      </c>
      <c r="L97" s="96">
        <v>3.36</v>
      </c>
      <c r="M97" s="96">
        <v>6.15</v>
      </c>
      <c r="N97" s="110">
        <v>0.08</v>
      </c>
      <c r="O97" s="96">
        <v>1.35</v>
      </c>
      <c r="P97" s="96">
        <v>0</v>
      </c>
      <c r="Q97" s="94">
        <v>1462</v>
      </c>
      <c r="R97" s="94">
        <v>488</v>
      </c>
      <c r="S97" s="105" t="s">
        <v>514</v>
      </c>
      <c r="T97" s="122"/>
    </row>
    <row r="98" spans="1:20" x14ac:dyDescent="0.4">
      <c r="A98" s="92" t="s">
        <v>695</v>
      </c>
      <c r="B98" s="102">
        <v>45944</v>
      </c>
      <c r="C98" s="102" t="s">
        <v>696</v>
      </c>
      <c r="D98" s="106"/>
      <c r="E98" s="106"/>
      <c r="F98" s="106"/>
      <c r="G98" s="93" t="s">
        <v>697</v>
      </c>
      <c r="H98" s="98" t="s">
        <v>698</v>
      </c>
      <c r="I98" s="102" t="s">
        <v>250</v>
      </c>
      <c r="J98" s="94" t="s">
        <v>251</v>
      </c>
      <c r="K98" s="103">
        <v>22.5</v>
      </c>
      <c r="L98" s="96">
        <v>3.3</v>
      </c>
      <c r="M98" s="96">
        <v>6.3</v>
      </c>
      <c r="N98" s="110">
        <v>0.03</v>
      </c>
      <c r="O98" s="96">
        <v>1.57</v>
      </c>
      <c r="P98" s="96">
        <v>0</v>
      </c>
      <c r="Q98" s="94">
        <v>1543</v>
      </c>
      <c r="R98" s="94">
        <v>523</v>
      </c>
      <c r="S98" s="105" t="s">
        <v>514</v>
      </c>
      <c r="T98" s="122"/>
    </row>
    <row r="99" spans="1:20" x14ac:dyDescent="0.4">
      <c r="A99" s="92" t="s">
        <v>699</v>
      </c>
      <c r="B99" s="102">
        <v>45944</v>
      </c>
      <c r="C99" s="102" t="s">
        <v>700</v>
      </c>
      <c r="D99" s="106"/>
      <c r="E99" s="106"/>
      <c r="F99" s="106"/>
      <c r="G99" s="93" t="s">
        <v>701</v>
      </c>
      <c r="H99" s="98" t="s">
        <v>702</v>
      </c>
      <c r="I99" s="102" t="s">
        <v>250</v>
      </c>
      <c r="J99" s="94" t="s">
        <v>251</v>
      </c>
      <c r="K99" s="103">
        <v>23.7</v>
      </c>
      <c r="L99" s="96">
        <v>3.6</v>
      </c>
      <c r="M99" s="96">
        <v>4.6500000000000004</v>
      </c>
      <c r="N99" s="110">
        <v>0.08</v>
      </c>
      <c r="O99" s="96">
        <v>1.54</v>
      </c>
      <c r="P99" s="96">
        <v>0</v>
      </c>
      <c r="Q99" s="94">
        <v>1882</v>
      </c>
      <c r="R99" s="94">
        <v>737</v>
      </c>
      <c r="S99" s="105" t="s">
        <v>514</v>
      </c>
      <c r="T99" s="122"/>
    </row>
    <row r="100" spans="1:20" x14ac:dyDescent="0.4">
      <c r="A100" s="92" t="s">
        <v>703</v>
      </c>
      <c r="B100" s="102">
        <v>45944</v>
      </c>
      <c r="C100" s="102" t="s">
        <v>700</v>
      </c>
      <c r="D100" s="111"/>
      <c r="E100" s="111"/>
      <c r="F100" s="111"/>
      <c r="G100" s="93" t="s">
        <v>704</v>
      </c>
      <c r="H100" s="98" t="s">
        <v>705</v>
      </c>
      <c r="I100" s="102" t="s">
        <v>250</v>
      </c>
      <c r="J100" s="94" t="s">
        <v>251</v>
      </c>
      <c r="K100" s="103">
        <v>24.1</v>
      </c>
      <c r="L100" s="96">
        <v>3.71</v>
      </c>
      <c r="M100" s="96">
        <v>4.2</v>
      </c>
      <c r="N100" s="110">
        <v>0.04</v>
      </c>
      <c r="O100" s="96">
        <v>1.46</v>
      </c>
      <c r="P100" s="96">
        <v>0</v>
      </c>
      <c r="Q100" s="112">
        <v>163</v>
      </c>
      <c r="R100" s="112">
        <v>276</v>
      </c>
      <c r="S100" s="105" t="s">
        <v>514</v>
      </c>
      <c r="T100" s="122"/>
    </row>
    <row r="101" spans="1:20" x14ac:dyDescent="0.4">
      <c r="A101" s="92" t="s">
        <v>706</v>
      </c>
      <c r="B101" s="102">
        <v>45944</v>
      </c>
      <c r="C101" s="102" t="s">
        <v>707</v>
      </c>
      <c r="D101" s="111"/>
      <c r="E101" s="111"/>
      <c r="F101" s="111"/>
      <c r="G101" s="93" t="s">
        <v>708</v>
      </c>
      <c r="H101" s="98" t="s">
        <v>709</v>
      </c>
      <c r="I101" s="102" t="s">
        <v>250</v>
      </c>
      <c r="J101" s="94" t="s">
        <v>251</v>
      </c>
      <c r="K101" s="103">
        <v>22.1</v>
      </c>
      <c r="L101" s="96">
        <v>3.53</v>
      </c>
      <c r="M101" s="96">
        <v>4.95</v>
      </c>
      <c r="N101" s="110">
        <v>0.05</v>
      </c>
      <c r="O101" s="96">
        <v>1.41</v>
      </c>
      <c r="P101" s="96">
        <v>0</v>
      </c>
      <c r="Q101" s="94">
        <v>1687</v>
      </c>
      <c r="R101" s="94">
        <v>553</v>
      </c>
      <c r="S101" s="105" t="s">
        <v>514</v>
      </c>
      <c r="T101" s="122"/>
    </row>
    <row r="102" spans="1:20" x14ac:dyDescent="0.4">
      <c r="A102" s="92" t="s">
        <v>710</v>
      </c>
      <c r="B102" s="102">
        <v>45944</v>
      </c>
      <c r="C102" s="102" t="s">
        <v>711</v>
      </c>
      <c r="D102" s="111"/>
      <c r="E102" s="111"/>
      <c r="F102" s="111"/>
      <c r="G102" s="93" t="s">
        <v>712</v>
      </c>
      <c r="H102" s="98" t="s">
        <v>713</v>
      </c>
      <c r="I102" s="102" t="s">
        <v>250</v>
      </c>
      <c r="J102" s="94" t="s">
        <v>251</v>
      </c>
      <c r="K102" s="103">
        <v>23.4</v>
      </c>
      <c r="L102" s="96">
        <v>3.29</v>
      </c>
      <c r="M102" s="96">
        <v>5.4</v>
      </c>
      <c r="N102" s="110">
        <v>0.08</v>
      </c>
      <c r="O102" s="100">
        <v>1.03</v>
      </c>
      <c r="P102" s="100">
        <v>0</v>
      </c>
      <c r="Q102" s="94">
        <v>1732</v>
      </c>
      <c r="R102" s="94">
        <v>621</v>
      </c>
      <c r="S102" s="105" t="s">
        <v>514</v>
      </c>
      <c r="T102" s="122"/>
    </row>
    <row r="103" spans="1:20" x14ac:dyDescent="0.4">
      <c r="A103" s="92" t="s">
        <v>714</v>
      </c>
      <c r="B103" s="102">
        <v>45944</v>
      </c>
      <c r="C103" s="102" t="s">
        <v>715</v>
      </c>
      <c r="D103" s="111"/>
      <c r="E103" s="111"/>
      <c r="F103" s="111"/>
      <c r="G103" s="93" t="s">
        <v>716</v>
      </c>
      <c r="H103" s="98" t="s">
        <v>717</v>
      </c>
      <c r="I103" s="102" t="s">
        <v>250</v>
      </c>
      <c r="J103" s="94" t="s">
        <v>251</v>
      </c>
      <c r="K103" s="113">
        <v>21.9</v>
      </c>
      <c r="L103" s="96">
        <v>3.37</v>
      </c>
      <c r="M103" s="96">
        <v>6.15</v>
      </c>
      <c r="N103" s="110">
        <v>0.05</v>
      </c>
      <c r="O103" s="96">
        <v>2.1</v>
      </c>
      <c r="P103" s="96">
        <v>0</v>
      </c>
      <c r="Q103" s="112">
        <v>1131</v>
      </c>
      <c r="R103" s="112">
        <v>594</v>
      </c>
      <c r="S103" s="105" t="s">
        <v>514</v>
      </c>
      <c r="T103" s="122"/>
    </row>
    <row r="104" spans="1:20" x14ac:dyDescent="0.4">
      <c r="A104" s="92" t="s">
        <v>718</v>
      </c>
      <c r="B104" s="102">
        <v>45944</v>
      </c>
      <c r="C104" s="102" t="s">
        <v>715</v>
      </c>
      <c r="D104" s="111"/>
      <c r="E104" s="111"/>
      <c r="F104" s="111"/>
      <c r="G104" s="93" t="s">
        <v>719</v>
      </c>
      <c r="H104" s="98" t="s">
        <v>720</v>
      </c>
      <c r="I104" s="102" t="s">
        <v>250</v>
      </c>
      <c r="J104" s="94" t="s">
        <v>251</v>
      </c>
      <c r="K104" s="113">
        <v>21.4</v>
      </c>
      <c r="L104" s="96">
        <v>3.54</v>
      </c>
      <c r="M104" s="96">
        <v>5.7</v>
      </c>
      <c r="N104" s="110">
        <v>0.03</v>
      </c>
      <c r="O104" s="96">
        <v>2.61</v>
      </c>
      <c r="P104" s="96">
        <v>0</v>
      </c>
      <c r="Q104" s="94">
        <v>1746</v>
      </c>
      <c r="R104" s="94">
        <v>437</v>
      </c>
      <c r="S104" s="105" t="s">
        <v>514</v>
      </c>
      <c r="T104" s="122"/>
    </row>
    <row r="105" spans="1:20" x14ac:dyDescent="0.4">
      <c r="A105" s="92" t="s">
        <v>721</v>
      </c>
      <c r="B105" s="102">
        <v>45944</v>
      </c>
      <c r="C105" s="102" t="s">
        <v>722</v>
      </c>
      <c r="D105" s="111"/>
      <c r="E105" s="111"/>
      <c r="F105" s="111"/>
      <c r="G105" s="93" t="s">
        <v>723</v>
      </c>
      <c r="H105" s="98" t="s">
        <v>724</v>
      </c>
      <c r="I105" s="102" t="s">
        <v>216</v>
      </c>
      <c r="J105" s="94" t="s">
        <v>259</v>
      </c>
      <c r="K105" s="113">
        <v>24.1</v>
      </c>
      <c r="L105" s="96">
        <v>3.96</v>
      </c>
      <c r="M105" s="96">
        <v>5.0999999999999996</v>
      </c>
      <c r="N105" s="110">
        <v>2.41</v>
      </c>
      <c r="O105" s="96">
        <v>2.2200000000000002</v>
      </c>
      <c r="P105" s="96">
        <v>0.55000000000000004</v>
      </c>
      <c r="Q105" s="94">
        <v>1717</v>
      </c>
      <c r="R105" s="94">
        <v>585</v>
      </c>
      <c r="S105" s="105" t="s">
        <v>514</v>
      </c>
      <c r="T105" s="122"/>
    </row>
    <row r="106" spans="1:20" x14ac:dyDescent="0.4">
      <c r="A106" s="92" t="s">
        <v>725</v>
      </c>
      <c r="B106" s="102">
        <v>45945</v>
      </c>
      <c r="C106" s="102" t="s">
        <v>567</v>
      </c>
      <c r="D106" s="107"/>
      <c r="E106" s="107"/>
      <c r="F106" s="107"/>
      <c r="G106" s="93" t="s">
        <v>726</v>
      </c>
      <c r="H106" s="98" t="s">
        <v>467</v>
      </c>
      <c r="I106" s="102" t="s">
        <v>216</v>
      </c>
      <c r="J106" s="94" t="s">
        <v>363</v>
      </c>
      <c r="K106" s="113">
        <v>13.3</v>
      </c>
      <c r="L106" s="104">
        <v>3.34</v>
      </c>
      <c r="M106" s="110">
        <v>7.5</v>
      </c>
      <c r="N106" s="110">
        <v>0.78</v>
      </c>
      <c r="O106" s="96">
        <v>1.77</v>
      </c>
      <c r="P106" s="96">
        <v>0</v>
      </c>
      <c r="Q106" s="94">
        <v>1399</v>
      </c>
      <c r="R106" s="94">
        <v>616</v>
      </c>
      <c r="S106" s="105" t="s">
        <v>529</v>
      </c>
      <c r="T106" s="122"/>
    </row>
    <row r="107" spans="1:20" x14ac:dyDescent="0.4">
      <c r="A107" s="92" t="s">
        <v>727</v>
      </c>
      <c r="B107" s="106">
        <v>45946</v>
      </c>
      <c r="C107" s="102" t="s">
        <v>391</v>
      </c>
      <c r="D107" s="107"/>
      <c r="E107" s="107"/>
      <c r="F107" s="107"/>
      <c r="G107" s="93" t="s">
        <v>728</v>
      </c>
      <c r="H107" s="21" t="s">
        <v>495</v>
      </c>
      <c r="I107" s="106" t="s">
        <v>216</v>
      </c>
      <c r="J107" s="21" t="s">
        <v>317</v>
      </c>
      <c r="K107" s="113">
        <v>23.6</v>
      </c>
      <c r="L107" s="104">
        <v>3.34</v>
      </c>
      <c r="M107" s="110">
        <v>5.7</v>
      </c>
      <c r="N107" s="110">
        <v>0.1</v>
      </c>
      <c r="O107" s="96">
        <v>1.1499999999999999</v>
      </c>
      <c r="P107" s="96">
        <v>0</v>
      </c>
      <c r="Q107" s="94">
        <v>1589</v>
      </c>
      <c r="R107" s="94">
        <v>873</v>
      </c>
      <c r="S107" s="105" t="s">
        <v>529</v>
      </c>
      <c r="T107" s="122"/>
    </row>
    <row r="108" spans="1:20" x14ac:dyDescent="0.4">
      <c r="A108" s="92" t="s">
        <v>729</v>
      </c>
      <c r="B108" s="106">
        <v>45946</v>
      </c>
      <c r="C108" s="102" t="s">
        <v>391</v>
      </c>
      <c r="D108" s="107"/>
      <c r="E108" s="107"/>
      <c r="F108" s="107"/>
      <c r="G108" s="93" t="s">
        <v>730</v>
      </c>
      <c r="H108" s="21" t="s">
        <v>528</v>
      </c>
      <c r="I108" s="106" t="s">
        <v>216</v>
      </c>
      <c r="J108" s="21" t="s">
        <v>317</v>
      </c>
      <c r="K108" s="95">
        <v>21.6</v>
      </c>
      <c r="L108" s="104">
        <v>3.78</v>
      </c>
      <c r="M108" s="96">
        <v>3.15</v>
      </c>
      <c r="N108" s="110">
        <v>0</v>
      </c>
      <c r="O108" s="96">
        <v>1.1000000000000001</v>
      </c>
      <c r="P108" s="96">
        <v>0</v>
      </c>
      <c r="Q108" s="94">
        <v>1806</v>
      </c>
      <c r="R108" s="94">
        <v>560</v>
      </c>
      <c r="S108" s="105" t="s">
        <v>514</v>
      </c>
      <c r="T108" s="122"/>
    </row>
    <row r="109" spans="1:20" x14ac:dyDescent="0.4">
      <c r="A109" s="92" t="s">
        <v>731</v>
      </c>
      <c r="B109" s="106">
        <v>45947</v>
      </c>
      <c r="C109" s="102" t="s">
        <v>395</v>
      </c>
      <c r="D109" s="111"/>
      <c r="E109" s="111"/>
      <c r="F109" s="111"/>
      <c r="G109" s="93" t="s">
        <v>732</v>
      </c>
      <c r="H109" s="98" t="s">
        <v>522</v>
      </c>
      <c r="I109" s="106" t="s">
        <v>216</v>
      </c>
      <c r="J109" s="21" t="s">
        <v>299</v>
      </c>
      <c r="K109" s="95">
        <v>21.2</v>
      </c>
      <c r="L109" s="97">
        <v>3.63</v>
      </c>
      <c r="M109" s="96">
        <v>5.7</v>
      </c>
      <c r="N109" s="110">
        <v>0.36</v>
      </c>
      <c r="O109" s="96">
        <v>2.62</v>
      </c>
      <c r="P109" s="96">
        <v>0</v>
      </c>
      <c r="Q109" s="94">
        <v>2050</v>
      </c>
      <c r="R109" s="94">
        <v>762</v>
      </c>
      <c r="S109" s="105" t="s">
        <v>529</v>
      </c>
      <c r="T109" s="122"/>
    </row>
    <row r="110" spans="1:20" x14ac:dyDescent="0.4">
      <c r="A110" s="92" t="s">
        <v>733</v>
      </c>
      <c r="B110" s="106">
        <v>45947</v>
      </c>
      <c r="C110" s="106" t="s">
        <v>734</v>
      </c>
      <c r="D110" s="111"/>
      <c r="E110" s="111"/>
      <c r="F110" s="111"/>
      <c r="G110" s="93" t="s">
        <v>735</v>
      </c>
      <c r="H110" s="21" t="s">
        <v>528</v>
      </c>
      <c r="I110" s="106" t="s">
        <v>216</v>
      </c>
      <c r="J110" s="21" t="s">
        <v>251</v>
      </c>
      <c r="K110" s="95">
        <v>21.2</v>
      </c>
      <c r="L110" s="97">
        <v>3.79</v>
      </c>
      <c r="M110" s="96">
        <v>4.5</v>
      </c>
      <c r="N110" s="110">
        <v>0.14000000000000001</v>
      </c>
      <c r="O110" s="96">
        <v>2.09</v>
      </c>
      <c r="P110" s="96">
        <v>0</v>
      </c>
      <c r="Q110" s="94">
        <v>1584</v>
      </c>
      <c r="R110" s="94">
        <v>538</v>
      </c>
      <c r="S110" s="105" t="s">
        <v>529</v>
      </c>
      <c r="T110" s="122">
        <v>5.7</v>
      </c>
    </row>
    <row r="111" spans="1:20" x14ac:dyDescent="0.4">
      <c r="A111" s="92" t="s">
        <v>736</v>
      </c>
      <c r="B111" s="106">
        <v>45947</v>
      </c>
      <c r="C111" s="106" t="s">
        <v>737</v>
      </c>
      <c r="D111" s="111"/>
      <c r="E111" s="111"/>
      <c r="F111" s="111"/>
      <c r="G111" s="93" t="s">
        <v>738</v>
      </c>
      <c r="H111" s="21" t="s">
        <v>528</v>
      </c>
      <c r="I111" s="106" t="s">
        <v>216</v>
      </c>
      <c r="J111" s="97" t="s">
        <v>251</v>
      </c>
      <c r="K111" s="95">
        <v>20.6</v>
      </c>
      <c r="L111" s="97">
        <v>3.66</v>
      </c>
      <c r="M111" s="96">
        <v>4.95</v>
      </c>
      <c r="N111" s="96">
        <v>0.14000000000000001</v>
      </c>
      <c r="O111" s="96">
        <v>2.4</v>
      </c>
      <c r="P111" s="96">
        <v>0</v>
      </c>
      <c r="Q111" s="94">
        <v>1725</v>
      </c>
      <c r="R111" s="94">
        <v>541</v>
      </c>
      <c r="S111" s="105" t="s">
        <v>529</v>
      </c>
      <c r="T111" s="122">
        <v>5.64</v>
      </c>
    </row>
    <row r="112" spans="1:20" x14ac:dyDescent="0.4">
      <c r="A112" s="92" t="s">
        <v>739</v>
      </c>
      <c r="B112" s="106">
        <v>45947</v>
      </c>
      <c r="C112" s="106" t="s">
        <v>740</v>
      </c>
      <c r="D112" s="111"/>
      <c r="E112" s="111"/>
      <c r="F112" s="111"/>
      <c r="G112" s="93" t="s">
        <v>741</v>
      </c>
      <c r="H112" s="21" t="s">
        <v>724</v>
      </c>
      <c r="I112" s="106" t="s">
        <v>216</v>
      </c>
      <c r="J112" s="97" t="s">
        <v>251</v>
      </c>
      <c r="K112" s="95">
        <v>20</v>
      </c>
      <c r="L112" s="97">
        <v>3.71</v>
      </c>
      <c r="M112" s="96">
        <v>4.8</v>
      </c>
      <c r="N112" s="96">
        <v>0.37</v>
      </c>
      <c r="O112" s="96">
        <v>2.39</v>
      </c>
      <c r="P112" s="96">
        <v>0</v>
      </c>
      <c r="Q112" s="94">
        <v>1715</v>
      </c>
      <c r="R112" s="94">
        <v>584</v>
      </c>
      <c r="S112" s="105" t="s">
        <v>529</v>
      </c>
      <c r="T112" s="122">
        <v>4.7</v>
      </c>
    </row>
    <row r="113" spans="1:20" x14ac:dyDescent="0.4">
      <c r="A113" s="92" t="s">
        <v>742</v>
      </c>
      <c r="B113" s="106">
        <v>45947</v>
      </c>
      <c r="C113" s="102" t="s">
        <v>743</v>
      </c>
      <c r="D113" s="111"/>
      <c r="E113" s="111"/>
      <c r="F113" s="111"/>
      <c r="G113" s="93" t="s">
        <v>744</v>
      </c>
      <c r="H113" s="21" t="s">
        <v>557</v>
      </c>
      <c r="I113" s="106" t="s">
        <v>216</v>
      </c>
      <c r="J113" s="97" t="s">
        <v>254</v>
      </c>
      <c r="K113" s="95">
        <v>22.3</v>
      </c>
      <c r="L113" s="97">
        <v>3.57</v>
      </c>
      <c r="M113" s="96">
        <v>5.0999999999999996</v>
      </c>
      <c r="N113" s="96">
        <v>0.22</v>
      </c>
      <c r="O113" s="96">
        <v>2.48</v>
      </c>
      <c r="P113" s="96">
        <v>0</v>
      </c>
      <c r="Q113" s="94">
        <v>2016</v>
      </c>
      <c r="R113" s="94">
        <v>387</v>
      </c>
      <c r="S113" s="105" t="s">
        <v>529</v>
      </c>
      <c r="T113" s="122">
        <v>55</v>
      </c>
    </row>
    <row r="114" spans="1:20" x14ac:dyDescent="0.4">
      <c r="A114" s="92" t="s">
        <v>745</v>
      </c>
      <c r="B114" s="106">
        <v>45948</v>
      </c>
      <c r="C114" s="102" t="s">
        <v>743</v>
      </c>
      <c r="D114" s="111"/>
      <c r="E114" s="111"/>
      <c r="F114" s="111"/>
      <c r="G114" s="93" t="s">
        <v>746</v>
      </c>
      <c r="H114" s="98" t="s">
        <v>565</v>
      </c>
      <c r="I114" s="106" t="s">
        <v>216</v>
      </c>
      <c r="J114" s="97" t="s">
        <v>254</v>
      </c>
      <c r="K114" s="95">
        <v>22.3</v>
      </c>
      <c r="L114" s="97">
        <v>3.61</v>
      </c>
      <c r="M114" s="96">
        <v>4.5</v>
      </c>
      <c r="N114" s="96">
        <v>0.17</v>
      </c>
      <c r="O114" s="96">
        <v>1.88</v>
      </c>
      <c r="P114" s="96">
        <v>0</v>
      </c>
      <c r="Q114" s="94">
        <v>2187</v>
      </c>
      <c r="R114" s="94">
        <v>462</v>
      </c>
      <c r="S114" s="105" t="s">
        <v>529</v>
      </c>
      <c r="T114" s="122">
        <v>87</v>
      </c>
    </row>
    <row r="115" spans="1:20" x14ac:dyDescent="0.4">
      <c r="A115" s="92" t="s">
        <v>747</v>
      </c>
      <c r="B115" s="106">
        <v>45948</v>
      </c>
      <c r="C115" s="102" t="s">
        <v>406</v>
      </c>
      <c r="D115" s="111"/>
      <c r="E115" s="111"/>
      <c r="F115" s="111"/>
      <c r="G115" s="93" t="s">
        <v>748</v>
      </c>
      <c r="H115" s="98" t="s">
        <v>464</v>
      </c>
      <c r="I115" s="94" t="s">
        <v>229</v>
      </c>
      <c r="J115" s="94" t="s">
        <v>329</v>
      </c>
      <c r="K115" s="95">
        <v>21.1</v>
      </c>
      <c r="L115" s="97">
        <v>3.42</v>
      </c>
      <c r="M115" s="96">
        <v>5.55</v>
      </c>
      <c r="N115" s="96">
        <v>0.04</v>
      </c>
      <c r="O115" s="96">
        <v>2.38</v>
      </c>
      <c r="P115" s="96">
        <v>0</v>
      </c>
      <c r="Q115" s="94">
        <v>2057</v>
      </c>
      <c r="R115" s="94">
        <v>517</v>
      </c>
      <c r="S115" s="105" t="s">
        <v>529</v>
      </c>
      <c r="T115" s="122">
        <v>128</v>
      </c>
    </row>
    <row r="116" spans="1:20" x14ac:dyDescent="0.4">
      <c r="A116" s="92" t="s">
        <v>749</v>
      </c>
      <c r="B116" s="106">
        <v>45948</v>
      </c>
      <c r="C116" s="102" t="s">
        <v>410</v>
      </c>
      <c r="D116" s="114" t="s">
        <v>412</v>
      </c>
      <c r="E116" s="114" t="s">
        <v>414</v>
      </c>
      <c r="F116" s="111"/>
      <c r="G116" s="93" t="s">
        <v>750</v>
      </c>
      <c r="H116" s="98" t="s">
        <v>508</v>
      </c>
      <c r="I116" s="94" t="s">
        <v>229</v>
      </c>
      <c r="J116" s="94" t="s">
        <v>329</v>
      </c>
      <c r="K116" s="97">
        <v>20.2</v>
      </c>
      <c r="L116" s="97">
        <v>3.46</v>
      </c>
      <c r="M116" s="96">
        <v>6.6</v>
      </c>
      <c r="N116" s="96">
        <v>7.0000000000000007E-2</v>
      </c>
      <c r="O116" s="96">
        <v>3.23</v>
      </c>
      <c r="P116" s="96">
        <v>0</v>
      </c>
      <c r="Q116" s="94">
        <v>1911</v>
      </c>
      <c r="R116" s="94">
        <v>582</v>
      </c>
      <c r="S116" s="105" t="s">
        <v>529</v>
      </c>
      <c r="T116" s="122">
        <v>103</v>
      </c>
    </row>
    <row r="117" spans="1:20" x14ac:dyDescent="0.4">
      <c r="A117" s="92" t="s">
        <v>751</v>
      </c>
      <c r="B117" s="106">
        <v>45948</v>
      </c>
      <c r="C117" s="102" t="s">
        <v>410</v>
      </c>
      <c r="D117" s="111"/>
      <c r="E117" s="111"/>
      <c r="F117" s="111"/>
      <c r="G117" s="93" t="s">
        <v>752</v>
      </c>
      <c r="H117" s="98" t="s">
        <v>528</v>
      </c>
      <c r="I117" s="94" t="s">
        <v>229</v>
      </c>
      <c r="J117" s="94" t="s">
        <v>329</v>
      </c>
      <c r="K117" s="97">
        <v>19.8</v>
      </c>
      <c r="L117" s="97">
        <v>3.74</v>
      </c>
      <c r="M117" s="96">
        <v>4.8</v>
      </c>
      <c r="N117" s="96">
        <v>0.1</v>
      </c>
      <c r="O117" s="96">
        <v>3.26</v>
      </c>
      <c r="P117" s="96">
        <v>0.01</v>
      </c>
      <c r="Q117" s="94">
        <v>2170</v>
      </c>
      <c r="R117" s="94">
        <v>500</v>
      </c>
      <c r="S117" s="105" t="s">
        <v>529</v>
      </c>
      <c r="T117" s="122">
        <v>3.15</v>
      </c>
    </row>
    <row r="118" spans="1:20" x14ac:dyDescent="0.4">
      <c r="A118" s="92" t="s">
        <v>753</v>
      </c>
      <c r="B118" s="106">
        <v>45948</v>
      </c>
      <c r="C118" s="102" t="s">
        <v>754</v>
      </c>
      <c r="D118" s="111"/>
      <c r="E118" s="111"/>
      <c r="F118" s="111"/>
      <c r="G118" s="93" t="s">
        <v>755</v>
      </c>
      <c r="H118" s="98" t="s">
        <v>528</v>
      </c>
      <c r="I118" s="94" t="s">
        <v>216</v>
      </c>
      <c r="J118" s="94" t="s">
        <v>251</v>
      </c>
      <c r="K118" s="97">
        <v>22.4</v>
      </c>
      <c r="L118" s="97">
        <v>3.33</v>
      </c>
      <c r="M118" s="96">
        <v>6.45</v>
      </c>
      <c r="N118" s="96">
        <v>0.18</v>
      </c>
      <c r="O118" s="96">
        <v>2.33</v>
      </c>
      <c r="P118" s="96">
        <v>0.08</v>
      </c>
      <c r="Q118" s="94">
        <v>1658</v>
      </c>
      <c r="R118" s="94">
        <v>561</v>
      </c>
      <c r="S118" s="105" t="s">
        <v>514</v>
      </c>
      <c r="T118" s="122">
        <f>5.8+4.35</f>
        <v>10.149999999999999</v>
      </c>
    </row>
    <row r="119" spans="1:20" x14ac:dyDescent="0.4">
      <c r="A119" s="92" t="s">
        <v>756</v>
      </c>
      <c r="B119" s="106">
        <v>45948</v>
      </c>
      <c r="C119" s="102" t="s">
        <v>757</v>
      </c>
      <c r="D119" s="111"/>
      <c r="E119" s="111"/>
      <c r="F119" s="111"/>
      <c r="G119" s="93" t="s">
        <v>758</v>
      </c>
      <c r="H119" s="98" t="s">
        <v>759</v>
      </c>
      <c r="I119" s="94" t="s">
        <v>216</v>
      </c>
      <c r="J119" s="94" t="s">
        <v>251</v>
      </c>
      <c r="K119" s="97">
        <v>23.1</v>
      </c>
      <c r="L119" s="97">
        <v>3.59</v>
      </c>
      <c r="M119" s="96">
        <v>5.0999999999999996</v>
      </c>
      <c r="N119" s="96">
        <v>0.31</v>
      </c>
      <c r="O119" s="96">
        <v>2.23</v>
      </c>
      <c r="P119" s="96">
        <v>0</v>
      </c>
      <c r="Q119" s="94">
        <v>1733</v>
      </c>
      <c r="R119" s="94">
        <v>507</v>
      </c>
      <c r="S119" s="105" t="s">
        <v>529</v>
      </c>
      <c r="T119" s="122">
        <v>182</v>
      </c>
    </row>
    <row r="120" spans="1:20" x14ac:dyDescent="0.4">
      <c r="A120" s="92" t="s">
        <v>760</v>
      </c>
      <c r="B120" s="106">
        <v>45949</v>
      </c>
      <c r="C120" s="102" t="s">
        <v>757</v>
      </c>
      <c r="D120" s="111"/>
      <c r="E120" s="111"/>
      <c r="F120" s="111"/>
      <c r="G120" s="93" t="s">
        <v>761</v>
      </c>
      <c r="H120" s="98" t="s">
        <v>762</v>
      </c>
      <c r="I120" s="94" t="s">
        <v>216</v>
      </c>
      <c r="J120" s="94" t="s">
        <v>251</v>
      </c>
      <c r="K120" s="97">
        <v>21.3</v>
      </c>
      <c r="L120" s="97">
        <v>3.59</v>
      </c>
      <c r="M120" s="96">
        <v>4.95</v>
      </c>
      <c r="N120" s="96">
        <v>0.45</v>
      </c>
      <c r="O120" s="100">
        <v>2.2599999999999998</v>
      </c>
      <c r="P120" s="96">
        <v>0.05</v>
      </c>
      <c r="Q120" s="94">
        <v>1508</v>
      </c>
      <c r="R120" s="94">
        <v>549</v>
      </c>
      <c r="S120" s="105" t="s">
        <v>529</v>
      </c>
      <c r="T120" s="122">
        <v>150</v>
      </c>
    </row>
    <row r="121" spans="1:20" x14ac:dyDescent="0.4">
      <c r="A121" s="92" t="s">
        <v>763</v>
      </c>
      <c r="B121" s="106">
        <v>45953</v>
      </c>
      <c r="C121" s="106" t="s">
        <v>420</v>
      </c>
      <c r="D121" s="111"/>
      <c r="E121" s="111"/>
      <c r="F121" s="111"/>
      <c r="G121" s="93" t="s">
        <v>764</v>
      </c>
      <c r="H121" s="98" t="s">
        <v>543</v>
      </c>
      <c r="I121" s="94" t="s">
        <v>765</v>
      </c>
      <c r="J121" s="94" t="s">
        <v>251</v>
      </c>
      <c r="K121" s="97">
        <v>23.2</v>
      </c>
      <c r="L121" s="96">
        <v>3.8</v>
      </c>
      <c r="M121" s="97">
        <v>4.05</v>
      </c>
      <c r="N121" s="97">
        <v>0.09</v>
      </c>
      <c r="O121" s="97">
        <v>2.16</v>
      </c>
      <c r="P121" s="96">
        <v>0</v>
      </c>
      <c r="Q121" s="94">
        <v>2288</v>
      </c>
      <c r="R121" s="94">
        <v>671</v>
      </c>
      <c r="S121" s="122"/>
      <c r="T121" s="122"/>
    </row>
    <row r="122" spans="1:20" x14ac:dyDescent="0.4">
      <c r="A122" s="92" t="s">
        <v>766</v>
      </c>
      <c r="B122" s="106">
        <v>45953</v>
      </c>
      <c r="C122" s="106" t="s">
        <v>420</v>
      </c>
      <c r="D122" s="111"/>
      <c r="E122" s="111"/>
      <c r="F122" s="111"/>
      <c r="G122" s="93" t="s">
        <v>767</v>
      </c>
      <c r="H122" s="98" t="s">
        <v>683</v>
      </c>
      <c r="I122" s="94" t="s">
        <v>239</v>
      </c>
      <c r="J122" s="94" t="s">
        <v>251</v>
      </c>
      <c r="K122" s="97">
        <v>23.5</v>
      </c>
      <c r="L122" s="97">
        <v>4.1399999999999997</v>
      </c>
      <c r="M122" s="97">
        <v>2.7</v>
      </c>
      <c r="N122" s="97">
        <v>0.11</v>
      </c>
      <c r="O122" s="97">
        <v>2.06</v>
      </c>
      <c r="P122" s="96">
        <v>0</v>
      </c>
      <c r="Q122" s="94">
        <v>1887</v>
      </c>
      <c r="R122" s="94">
        <v>503</v>
      </c>
      <c r="S122" s="122"/>
      <c r="T122" s="122"/>
    </row>
    <row r="123" spans="1:20" x14ac:dyDescent="0.4">
      <c r="A123" s="92" t="s">
        <v>768</v>
      </c>
      <c r="B123" s="106">
        <v>45954</v>
      </c>
      <c r="C123" s="106" t="s">
        <v>420</v>
      </c>
      <c r="D123" s="111"/>
      <c r="E123" s="111"/>
      <c r="F123" s="111"/>
      <c r="G123" s="93" t="s">
        <v>769</v>
      </c>
      <c r="H123" s="98" t="s">
        <v>688</v>
      </c>
      <c r="I123" s="94" t="s">
        <v>239</v>
      </c>
      <c r="J123" s="94" t="s">
        <v>251</v>
      </c>
      <c r="K123" s="97">
        <v>22.6</v>
      </c>
      <c r="L123" s="97">
        <v>4.01</v>
      </c>
      <c r="M123" s="97">
        <v>3.15</v>
      </c>
      <c r="N123" s="97">
        <v>0.09</v>
      </c>
      <c r="O123" s="97">
        <v>2.25</v>
      </c>
      <c r="P123" s="96">
        <v>0</v>
      </c>
      <c r="Q123" s="94">
        <v>1675</v>
      </c>
      <c r="R123" s="94">
        <v>619</v>
      </c>
      <c r="S123" s="122"/>
      <c r="T123" s="122"/>
    </row>
    <row r="124" spans="1:20" x14ac:dyDescent="0.4">
      <c r="A124" s="92" t="s">
        <v>770</v>
      </c>
      <c r="B124" s="106">
        <v>45954</v>
      </c>
      <c r="C124" s="106" t="s">
        <v>420</v>
      </c>
      <c r="D124" s="111"/>
      <c r="E124" s="111"/>
      <c r="F124" s="111"/>
      <c r="G124" s="93" t="s">
        <v>771</v>
      </c>
      <c r="H124" s="98" t="s">
        <v>575</v>
      </c>
      <c r="I124" s="94" t="s">
        <v>239</v>
      </c>
      <c r="J124" s="94" t="s">
        <v>251</v>
      </c>
      <c r="K124" s="97">
        <v>22.5</v>
      </c>
      <c r="L124" s="97">
        <v>3.89</v>
      </c>
      <c r="M124" s="97">
        <v>3.45</v>
      </c>
      <c r="N124" s="97">
        <v>0.08</v>
      </c>
      <c r="O124" s="97">
        <v>2.48</v>
      </c>
      <c r="P124" s="96">
        <v>0</v>
      </c>
      <c r="Q124" s="94">
        <v>1896</v>
      </c>
      <c r="R124" s="94">
        <v>618</v>
      </c>
      <c r="S124" s="122"/>
      <c r="T124" s="122"/>
    </row>
    <row r="125" spans="1:20" x14ac:dyDescent="0.4">
      <c r="A125" s="92" t="s">
        <v>772</v>
      </c>
      <c r="B125" s="106">
        <v>45960</v>
      </c>
      <c r="C125" s="102" t="s">
        <v>257</v>
      </c>
      <c r="D125" s="111"/>
      <c r="E125" s="111"/>
      <c r="F125" s="111"/>
      <c r="G125" s="93" t="s">
        <v>773</v>
      </c>
      <c r="H125" s="98" t="s">
        <v>495</v>
      </c>
      <c r="I125" s="94" t="s">
        <v>216</v>
      </c>
      <c r="J125" s="94" t="s">
        <v>251</v>
      </c>
      <c r="K125" s="97">
        <v>24.4</v>
      </c>
      <c r="L125" s="97">
        <v>3.69</v>
      </c>
      <c r="M125" s="97">
        <v>4.95</v>
      </c>
      <c r="N125" s="97">
        <v>0.24</v>
      </c>
      <c r="O125" s="97">
        <v>2.08</v>
      </c>
      <c r="P125" s="96">
        <v>0.05</v>
      </c>
      <c r="Q125" s="94">
        <v>1511</v>
      </c>
      <c r="R125" s="94">
        <v>540</v>
      </c>
      <c r="S125" s="122"/>
      <c r="T125" s="122"/>
    </row>
    <row r="126" spans="1:20" x14ac:dyDescent="0.4">
      <c r="A126" s="92" t="s">
        <v>774</v>
      </c>
      <c r="B126" s="106">
        <v>45960</v>
      </c>
      <c r="C126" s="102" t="s">
        <v>257</v>
      </c>
      <c r="D126" s="111"/>
      <c r="E126" s="111"/>
      <c r="F126" s="111"/>
      <c r="G126" s="93" t="s">
        <v>775</v>
      </c>
      <c r="H126" s="98" t="s">
        <v>464</v>
      </c>
      <c r="I126" s="94" t="s">
        <v>216</v>
      </c>
      <c r="J126" s="94" t="s">
        <v>251</v>
      </c>
      <c r="K126" s="97">
        <v>25.5</v>
      </c>
      <c r="L126" s="97">
        <v>3.97</v>
      </c>
      <c r="M126" s="96">
        <v>3.75</v>
      </c>
      <c r="N126" s="97">
        <v>0.25</v>
      </c>
      <c r="O126" s="97">
        <v>1.98</v>
      </c>
      <c r="P126" s="97">
        <v>0.04</v>
      </c>
      <c r="Q126" s="94">
        <v>2072</v>
      </c>
      <c r="R126" s="94">
        <v>471</v>
      </c>
      <c r="S126" s="122"/>
      <c r="T126" s="122"/>
    </row>
    <row r="127" spans="1:20" x14ac:dyDescent="0.4">
      <c r="A127" s="92" t="s">
        <v>776</v>
      </c>
      <c r="B127" s="106">
        <v>45966</v>
      </c>
      <c r="C127" s="106" t="s">
        <v>257</v>
      </c>
      <c r="D127" s="111"/>
      <c r="E127" s="111"/>
      <c r="F127" s="111"/>
      <c r="G127" s="93" t="s">
        <v>777</v>
      </c>
      <c r="H127" s="11" t="s">
        <v>459</v>
      </c>
      <c r="I127" s="94" t="s">
        <v>216</v>
      </c>
      <c r="J127" s="94" t="s">
        <v>251</v>
      </c>
      <c r="K127" s="97">
        <v>25.4</v>
      </c>
      <c r="L127" s="97">
        <v>4.29</v>
      </c>
      <c r="M127" s="96">
        <v>2.7</v>
      </c>
      <c r="N127" s="97">
        <v>0.19</v>
      </c>
      <c r="O127" s="97">
        <v>1.75</v>
      </c>
      <c r="P127" s="97">
        <v>7.0000000000000007E-2</v>
      </c>
      <c r="Q127" s="94">
        <v>1696</v>
      </c>
      <c r="R127" s="94">
        <v>589</v>
      </c>
      <c r="S127" s="122"/>
      <c r="T127" s="122"/>
    </row>
    <row r="128" spans="1:20" x14ac:dyDescent="0.4">
      <c r="A128" s="92" t="s">
        <v>778</v>
      </c>
      <c r="B128" s="106">
        <v>45966</v>
      </c>
      <c r="C128" s="106" t="s">
        <v>779</v>
      </c>
      <c r="D128" s="111"/>
      <c r="E128" s="111"/>
      <c r="F128" s="111"/>
      <c r="G128" s="93" t="s">
        <v>780</v>
      </c>
      <c r="H128" s="11" t="s">
        <v>528</v>
      </c>
      <c r="I128" s="94" t="s">
        <v>216</v>
      </c>
      <c r="J128" s="94" t="s">
        <v>251</v>
      </c>
      <c r="K128" s="97">
        <v>24.6</v>
      </c>
      <c r="L128" s="97">
        <v>4.16</v>
      </c>
      <c r="M128" s="96">
        <v>2.7</v>
      </c>
      <c r="N128" s="97">
        <v>0.14000000000000001</v>
      </c>
      <c r="O128" s="97">
        <v>2.11</v>
      </c>
      <c r="P128" s="97">
        <v>0.01</v>
      </c>
      <c r="Q128" s="94">
        <v>1876</v>
      </c>
      <c r="R128" s="94">
        <v>763</v>
      </c>
      <c r="S128" s="122"/>
      <c r="T128" s="122"/>
    </row>
    <row r="129" spans="1:20" x14ac:dyDescent="0.4">
      <c r="A129" s="92" t="s">
        <v>781</v>
      </c>
      <c r="B129" s="106">
        <v>45966</v>
      </c>
      <c r="C129" s="106" t="s">
        <v>779</v>
      </c>
      <c r="D129" s="111"/>
      <c r="E129" s="111"/>
      <c r="F129" s="111"/>
      <c r="G129" s="93" t="s">
        <v>782</v>
      </c>
      <c r="H129" s="11" t="s">
        <v>528</v>
      </c>
      <c r="I129" s="94" t="s">
        <v>216</v>
      </c>
      <c r="J129" s="94" t="s">
        <v>251</v>
      </c>
      <c r="K129" s="97">
        <v>24.5</v>
      </c>
      <c r="L129" s="97">
        <v>4.1399999999999997</v>
      </c>
      <c r="M129" s="96">
        <v>2.85</v>
      </c>
      <c r="N129" s="97">
        <v>0.05</v>
      </c>
      <c r="O129" s="97">
        <v>2.0699999999999998</v>
      </c>
      <c r="P129" s="97">
        <v>0.02</v>
      </c>
      <c r="Q129" s="94">
        <v>1678</v>
      </c>
      <c r="R129" s="94">
        <v>813</v>
      </c>
      <c r="S129" s="122"/>
      <c r="T129" s="122"/>
    </row>
    <row r="130" spans="1:20" x14ac:dyDescent="0.4">
      <c r="A130" s="92" t="s">
        <v>783</v>
      </c>
      <c r="B130" s="106">
        <v>45968</v>
      </c>
      <c r="C130" s="106" t="s">
        <v>424</v>
      </c>
      <c r="D130" s="111" t="s">
        <v>257</v>
      </c>
      <c r="E130" s="111"/>
      <c r="F130" s="111"/>
      <c r="G130" s="93" t="s">
        <v>784</v>
      </c>
      <c r="H130" s="11" t="s">
        <v>543</v>
      </c>
      <c r="I130" s="94" t="s">
        <v>216</v>
      </c>
      <c r="J130" s="94" t="s">
        <v>251</v>
      </c>
      <c r="K130" s="97">
        <v>25.2</v>
      </c>
      <c r="L130" s="97">
        <v>3.08</v>
      </c>
      <c r="M130" s="96">
        <v>8.1</v>
      </c>
      <c r="N130" s="97">
        <v>0.34</v>
      </c>
      <c r="O130" s="97">
        <v>1.63</v>
      </c>
      <c r="P130" s="97">
        <v>0.15</v>
      </c>
      <c r="Q130" s="94">
        <v>2126</v>
      </c>
      <c r="R130" s="94">
        <v>544</v>
      </c>
      <c r="S130" s="122"/>
      <c r="T130" s="122"/>
    </row>
    <row r="131" spans="1:20" x14ac:dyDescent="0.4">
      <c r="A131" s="92" t="s">
        <v>785</v>
      </c>
      <c r="B131" s="106">
        <v>45971</v>
      </c>
      <c r="C131" s="106" t="s">
        <v>786</v>
      </c>
      <c r="D131" s="111"/>
      <c r="E131" s="111"/>
      <c r="F131" s="111"/>
      <c r="G131" s="93" t="s">
        <v>787</v>
      </c>
      <c r="H131" s="94" t="s">
        <v>528</v>
      </c>
      <c r="I131" s="94" t="s">
        <v>216</v>
      </c>
      <c r="J131" s="94" t="s">
        <v>251</v>
      </c>
      <c r="K131" s="97">
        <v>23.6</v>
      </c>
      <c r="L131" s="97">
        <v>4.1399999999999997</v>
      </c>
      <c r="M131" s="96">
        <v>4.5</v>
      </c>
      <c r="N131" s="97">
        <v>1.45</v>
      </c>
      <c r="O131" s="97">
        <v>2.06</v>
      </c>
      <c r="P131" s="97">
        <v>0.63</v>
      </c>
      <c r="Q131" s="94">
        <v>1382</v>
      </c>
      <c r="R131" s="94">
        <v>539</v>
      </c>
      <c r="S131" s="122"/>
      <c r="T131" s="122"/>
    </row>
    <row r="132" spans="1:20" x14ac:dyDescent="0.4">
      <c r="A132" s="92" t="s">
        <v>788</v>
      </c>
      <c r="B132" s="106">
        <v>45971</v>
      </c>
      <c r="C132" s="106" t="s">
        <v>786</v>
      </c>
      <c r="D132" s="111"/>
      <c r="E132" s="111"/>
      <c r="F132" s="111"/>
      <c r="G132" s="93" t="s">
        <v>789</v>
      </c>
      <c r="H132" s="94" t="s">
        <v>528</v>
      </c>
      <c r="I132" s="94" t="s">
        <v>216</v>
      </c>
      <c r="J132" s="94" t="s">
        <v>251</v>
      </c>
      <c r="K132" s="97">
        <v>27</v>
      </c>
      <c r="L132" s="97">
        <v>4.37</v>
      </c>
      <c r="M132" s="96">
        <v>3.75</v>
      </c>
      <c r="N132" s="97">
        <v>0.62</v>
      </c>
      <c r="O132" s="97">
        <v>1.49</v>
      </c>
      <c r="P132" s="97">
        <v>0.25</v>
      </c>
      <c r="Q132" s="94">
        <v>1449</v>
      </c>
      <c r="R132" s="94">
        <v>568</v>
      </c>
      <c r="S132" s="122"/>
      <c r="T132" s="122"/>
    </row>
    <row r="133" spans="1:20" x14ac:dyDescent="0.4">
      <c r="A133" s="115" t="s">
        <v>790</v>
      </c>
      <c r="B133" s="116">
        <v>45971</v>
      </c>
      <c r="C133" s="116" t="s">
        <v>791</v>
      </c>
      <c r="D133" s="117"/>
      <c r="E133" s="117"/>
      <c r="F133" s="117"/>
      <c r="G133" s="118" t="s">
        <v>792</v>
      </c>
      <c r="H133" s="119" t="s">
        <v>528</v>
      </c>
      <c r="I133" s="119" t="s">
        <v>216</v>
      </c>
      <c r="J133" s="119" t="s">
        <v>251</v>
      </c>
      <c r="K133" s="120">
        <v>23.5</v>
      </c>
      <c r="L133" s="120">
        <v>4.13</v>
      </c>
      <c r="M133" s="121">
        <v>4.5</v>
      </c>
      <c r="N133" s="120">
        <v>1.73</v>
      </c>
      <c r="O133" s="120">
        <v>2.2000000000000002</v>
      </c>
      <c r="P133" s="120">
        <v>0.71</v>
      </c>
      <c r="Q133" s="119">
        <v>1438</v>
      </c>
      <c r="R133" s="119">
        <v>559</v>
      </c>
      <c r="S133" s="123"/>
      <c r="T133" s="123"/>
    </row>
  </sheetData>
  <mergeCells count="1">
    <mergeCell ref="C2:R2"/>
  </mergeCells>
  <pageMargins left="0.7" right="0.7" top="0.75" bottom="0.75" header="0.3" footer="0.3"/>
  <pageSetup scale="30" fitToHeight="0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71FDA-3AC5-4883-BAAD-29CEE38CB1D8}">
  <sheetPr>
    <outlinePr summaryBelow="0" summaryRight="0"/>
  </sheetPr>
  <dimension ref="A1:AE990"/>
  <sheetViews>
    <sheetView zoomScale="96" zoomScaleNormal="96" workbookViewId="0">
      <pane xSplit="5" ySplit="3" topLeftCell="F78" activePane="bottomRight" state="frozen"/>
      <selection pane="topRight" activeCell="F1" sqref="F1"/>
      <selection pane="bottomLeft" activeCell="A3" sqref="A3"/>
      <selection pane="bottomRight" activeCell="C77" sqref="C74:C77"/>
    </sheetView>
  </sheetViews>
  <sheetFormatPr defaultColWidth="12.7265625" defaultRowHeight="15.75" customHeight="1" x14ac:dyDescent="0.35"/>
  <cols>
    <col min="1" max="1" width="11.7265625" style="124" customWidth="1"/>
    <col min="2" max="2" width="7.26953125" style="138" customWidth="1"/>
    <col min="3" max="3" width="18.26953125" style="138" customWidth="1"/>
    <col min="4" max="4" width="13.1796875" style="279" customWidth="1"/>
    <col min="5" max="5" width="16.26953125" style="280" customWidth="1"/>
    <col min="6" max="6" width="17" style="280" customWidth="1"/>
    <col min="7" max="7" width="16" style="281" customWidth="1"/>
    <col min="8" max="8" width="15.54296875" style="286" customWidth="1"/>
    <col min="9" max="9" width="17" style="286" customWidth="1"/>
    <col min="10" max="10" width="12.7265625" style="287" customWidth="1"/>
    <col min="11" max="11" width="17.453125" style="288" customWidth="1"/>
    <col min="12" max="12" width="14.7265625" style="282" customWidth="1"/>
    <col min="13" max="13" width="19" style="283" customWidth="1"/>
    <col min="14" max="14" width="15.26953125" style="289" customWidth="1"/>
    <col min="15" max="15" width="18" style="290" customWidth="1"/>
    <col min="16" max="16" width="16.81640625" style="291" customWidth="1"/>
    <col min="17" max="17" width="16.81640625" style="284" customWidth="1"/>
    <col min="18" max="18" width="12.7265625" style="282" customWidth="1"/>
    <col min="19" max="19" width="8.26953125" style="140" customWidth="1"/>
    <col min="20" max="20" width="8.453125" style="138" customWidth="1"/>
    <col min="21" max="21" width="14.26953125" style="285" customWidth="1"/>
    <col min="22" max="23" width="10.54296875" style="138" customWidth="1"/>
    <col min="24" max="24" width="9.7265625" style="139" customWidth="1"/>
    <col min="25" max="25" width="12.7265625" style="140" customWidth="1"/>
    <col min="26" max="26" width="12.81640625" style="138" customWidth="1"/>
    <col min="27" max="27" width="18" style="138" customWidth="1"/>
    <col min="28" max="28" width="14.26953125" style="138" customWidth="1"/>
    <col min="29" max="30" width="17.453125" style="138" customWidth="1"/>
    <col min="31" max="16384" width="12.7265625" style="138"/>
  </cols>
  <sheetData>
    <row r="1" spans="1:30" s="3" customFormat="1" ht="38.5" customHeight="1" x14ac:dyDescent="0.6">
      <c r="A1" s="19" t="s">
        <v>793</v>
      </c>
    </row>
    <row r="2" spans="1:30" ht="17.5" customHeight="1" x14ac:dyDescent="0.3">
      <c r="B2" s="125"/>
      <c r="C2" s="125"/>
      <c r="D2" s="126"/>
      <c r="E2" s="127"/>
      <c r="F2" s="127"/>
      <c r="G2" s="128"/>
      <c r="H2" s="129"/>
      <c r="I2" s="129" t="s">
        <v>794</v>
      </c>
      <c r="J2" s="130"/>
      <c r="K2" s="131"/>
      <c r="L2" s="132"/>
      <c r="M2" s="133"/>
      <c r="N2" s="134"/>
      <c r="O2" s="135"/>
      <c r="P2" s="136"/>
      <c r="Q2" s="137"/>
      <c r="R2" s="409"/>
      <c r="S2" s="409"/>
      <c r="T2" s="409"/>
      <c r="U2" s="409"/>
      <c r="V2" s="409"/>
      <c r="W2" s="138">
        <v>235</v>
      </c>
      <c r="AA2" s="125" t="s">
        <v>795</v>
      </c>
    </row>
    <row r="3" spans="1:30" s="165" customFormat="1" ht="44.25" customHeight="1" x14ac:dyDescent="0.35">
      <c r="A3" s="141" t="s">
        <v>796</v>
      </c>
      <c r="B3" s="142" t="s">
        <v>200</v>
      </c>
      <c r="C3" s="142" t="s">
        <v>797</v>
      </c>
      <c r="D3" s="143" t="s">
        <v>798</v>
      </c>
      <c r="E3" s="144" t="s">
        <v>799</v>
      </c>
      <c r="F3" s="144" t="s">
        <v>800</v>
      </c>
      <c r="G3" s="145" t="s">
        <v>801</v>
      </c>
      <c r="H3" s="146" t="s">
        <v>802</v>
      </c>
      <c r="I3" s="147" t="s">
        <v>803</v>
      </c>
      <c r="J3" s="148" t="s">
        <v>804</v>
      </c>
      <c r="K3" s="149" t="s">
        <v>805</v>
      </c>
      <c r="L3" s="150" t="s">
        <v>806</v>
      </c>
      <c r="M3" s="151" t="s">
        <v>807</v>
      </c>
      <c r="N3" s="152" t="s">
        <v>808</v>
      </c>
      <c r="O3" s="153" t="s">
        <v>809</v>
      </c>
      <c r="P3" s="154" t="s">
        <v>810</v>
      </c>
      <c r="Q3" s="155" t="s">
        <v>811</v>
      </c>
      <c r="R3" s="157" t="s">
        <v>812</v>
      </c>
      <c r="S3" s="158" t="s">
        <v>813</v>
      </c>
      <c r="T3" s="159" t="s">
        <v>814</v>
      </c>
      <c r="U3" s="160" t="s">
        <v>815</v>
      </c>
      <c r="V3" s="161" t="s">
        <v>816</v>
      </c>
      <c r="W3" s="162" t="s">
        <v>817</v>
      </c>
      <c r="X3" s="163" t="s">
        <v>818</v>
      </c>
      <c r="Y3" s="158" t="s">
        <v>819</v>
      </c>
      <c r="Z3" s="159" t="s">
        <v>820</v>
      </c>
      <c r="AA3" s="156" t="s">
        <v>821</v>
      </c>
      <c r="AB3" s="156" t="s">
        <v>822</v>
      </c>
      <c r="AC3" s="156" t="s">
        <v>823</v>
      </c>
      <c r="AD3" s="164" t="s">
        <v>824</v>
      </c>
    </row>
    <row r="4" spans="1:30" s="183" customFormat="1" ht="27" customHeight="1" x14ac:dyDescent="0.35">
      <c r="A4" s="166">
        <v>45898</v>
      </c>
      <c r="B4" s="167">
        <v>1</v>
      </c>
      <c r="C4" s="167" t="s">
        <v>284</v>
      </c>
      <c r="D4" s="168">
        <v>400.8</v>
      </c>
      <c r="E4" s="169" t="s">
        <v>825</v>
      </c>
      <c r="F4" s="169" t="s">
        <v>501</v>
      </c>
      <c r="G4" s="170">
        <v>260</v>
      </c>
      <c r="H4" s="171">
        <f>G4/D4</f>
        <v>0.64870259481037917</v>
      </c>
      <c r="I4" s="172" t="s">
        <v>826</v>
      </c>
      <c r="J4" s="173">
        <v>1000</v>
      </c>
      <c r="K4" s="174"/>
      <c r="L4" s="175" t="s">
        <v>218</v>
      </c>
      <c r="M4" s="176" t="s">
        <v>206</v>
      </c>
      <c r="N4" s="177"/>
      <c r="O4" s="178">
        <f>J4+J5</f>
        <v>4584</v>
      </c>
      <c r="P4" s="174"/>
      <c r="Q4" s="179"/>
      <c r="R4" s="175"/>
      <c r="S4" s="180"/>
      <c r="T4" s="167"/>
      <c r="U4" s="181"/>
      <c r="V4" s="167"/>
      <c r="W4" s="167">
        <f>Tabla34[[#This Row],[CANT KG A.TARTARICO]]*$W$2</f>
        <v>0</v>
      </c>
      <c r="X4" s="182"/>
      <c r="Y4" s="180"/>
      <c r="Z4" s="167"/>
      <c r="AA4" s="167">
        <v>163</v>
      </c>
      <c r="AB4" s="167">
        <v>60</v>
      </c>
      <c r="AC4" s="167"/>
      <c r="AD4" s="167"/>
    </row>
    <row r="5" spans="1:30" s="183" customFormat="1" ht="14.5" x14ac:dyDescent="0.35">
      <c r="A5" s="166">
        <v>45898</v>
      </c>
      <c r="B5" s="167">
        <v>4</v>
      </c>
      <c r="C5" s="167" t="s">
        <v>284</v>
      </c>
      <c r="D5" s="168">
        <v>1660.8</v>
      </c>
      <c r="E5" s="169" t="s">
        <v>827</v>
      </c>
      <c r="F5" s="169" t="s">
        <v>470</v>
      </c>
      <c r="G5" s="170">
        <v>1079</v>
      </c>
      <c r="H5" s="171">
        <f t="shared" ref="H5:H8" si="0">G5/D5</f>
        <v>0.64968689788053957</v>
      </c>
      <c r="I5" s="184"/>
      <c r="J5" s="173">
        <v>3584</v>
      </c>
      <c r="K5" s="174"/>
      <c r="L5" s="175" t="s">
        <v>218</v>
      </c>
      <c r="M5" s="176" t="s">
        <v>206</v>
      </c>
      <c r="N5" s="177" t="s">
        <v>206</v>
      </c>
      <c r="O5" s="185"/>
      <c r="P5" s="174"/>
      <c r="Q5" s="179"/>
      <c r="R5" s="175"/>
      <c r="S5" s="180"/>
      <c r="T5" s="167"/>
      <c r="U5" s="181">
        <v>1</v>
      </c>
      <c r="V5" s="167">
        <v>1</v>
      </c>
      <c r="W5" s="167">
        <f>Tabla34[[#This Row],[CANT KG A.TARTARICO]]*$W$2</f>
        <v>235</v>
      </c>
      <c r="X5" s="182"/>
      <c r="Y5" s="180"/>
      <c r="Z5" s="167"/>
      <c r="AA5" s="167">
        <v>700</v>
      </c>
      <c r="AB5" s="167">
        <v>300</v>
      </c>
      <c r="AC5" s="167"/>
      <c r="AD5" s="167"/>
    </row>
    <row r="6" spans="1:30" ht="14.5" x14ac:dyDescent="0.35">
      <c r="A6" s="186">
        <v>45903</v>
      </c>
      <c r="B6" s="187">
        <v>14</v>
      </c>
      <c r="C6" s="188" t="s">
        <v>224</v>
      </c>
      <c r="D6" s="189">
        <v>5110.5</v>
      </c>
      <c r="E6" s="190" t="s">
        <v>513</v>
      </c>
      <c r="F6" s="190" t="s">
        <v>508</v>
      </c>
      <c r="G6" s="191">
        <f>D6*0.65</f>
        <v>3321.8250000000003</v>
      </c>
      <c r="H6" s="192">
        <f t="shared" si="0"/>
        <v>0.65</v>
      </c>
      <c r="I6" s="193" t="s">
        <v>828</v>
      </c>
      <c r="J6" s="194">
        <v>3106</v>
      </c>
      <c r="K6" s="195">
        <f>J6/D6</f>
        <v>0.60776832012523241</v>
      </c>
      <c r="L6" s="196" t="s">
        <v>204</v>
      </c>
      <c r="M6" s="197">
        <f>3219-Tabla34[[#This Row],[VOL DESVINE]]</f>
        <v>113</v>
      </c>
      <c r="N6" s="198">
        <f>Tabla34[[#This Row],[VOL (L)]]/Tabla34[[#This Row],[KG]]</f>
        <v>2.2111339399276002E-2</v>
      </c>
      <c r="O6" s="199">
        <f>J6+J7</f>
        <v>6505</v>
      </c>
      <c r="P6" s="200">
        <f>O6/(D6+D7)</f>
        <v>0.63643479111632917</v>
      </c>
      <c r="Q6" s="201"/>
      <c r="R6" s="202">
        <v>3.63</v>
      </c>
      <c r="S6" s="203">
        <v>3.48</v>
      </c>
      <c r="T6" s="187">
        <v>3.35</v>
      </c>
      <c r="U6" s="204">
        <f>(V6*1000)/G6</f>
        <v>1.646685180585973</v>
      </c>
      <c r="V6" s="187">
        <v>5.47</v>
      </c>
      <c r="W6" s="187">
        <f>Tabla34[[#This Row],[CANT KG A.TARTARICO]]*$W$2</f>
        <v>1285.45</v>
      </c>
      <c r="X6" s="205">
        <v>4.3499999999999996</v>
      </c>
      <c r="Y6" s="203">
        <v>7.35</v>
      </c>
      <c r="Z6" s="187">
        <v>5.85</v>
      </c>
      <c r="AA6" s="187"/>
      <c r="AB6" s="187"/>
      <c r="AC6" s="187"/>
      <c r="AD6" s="187"/>
    </row>
    <row r="7" spans="1:30" ht="14.5" x14ac:dyDescent="0.35">
      <c r="A7" s="186">
        <v>45903</v>
      </c>
      <c r="B7" s="187">
        <v>14</v>
      </c>
      <c r="C7" s="188" t="s">
        <v>224</v>
      </c>
      <c r="D7" s="189">
        <v>5110.5</v>
      </c>
      <c r="E7" s="190" t="s">
        <v>516</v>
      </c>
      <c r="F7" s="190" t="s">
        <v>517</v>
      </c>
      <c r="G7" s="191">
        <f>D7*0.65</f>
        <v>3321.8250000000003</v>
      </c>
      <c r="H7" s="192">
        <f t="shared" si="0"/>
        <v>0.65</v>
      </c>
      <c r="I7" s="206"/>
      <c r="J7" s="194">
        <v>3399</v>
      </c>
      <c r="K7" s="195">
        <f>J7/D7</f>
        <v>0.66510126210742593</v>
      </c>
      <c r="L7" s="202"/>
      <c r="M7" s="207"/>
      <c r="N7" s="198"/>
      <c r="O7" s="199"/>
      <c r="P7" s="200"/>
      <c r="Q7" s="201"/>
      <c r="R7" s="202">
        <v>3.62</v>
      </c>
      <c r="S7" s="203">
        <v>3.15</v>
      </c>
      <c r="T7" s="208" t="s">
        <v>206</v>
      </c>
      <c r="U7" s="204">
        <f>(V7*1000)/G7</f>
        <v>1.646685180585973</v>
      </c>
      <c r="V7" s="187">
        <v>5.47</v>
      </c>
      <c r="W7" s="187">
        <f>Tabla34[[#This Row],[CANT KG A.TARTARICO]]*$W$2</f>
        <v>1285.45</v>
      </c>
      <c r="X7" s="205">
        <v>4.3499999999999996</v>
      </c>
      <c r="Y7" s="203">
        <v>7.2</v>
      </c>
      <c r="Z7" s="209" t="s">
        <v>206</v>
      </c>
      <c r="AA7" s="187"/>
      <c r="AB7" s="187"/>
      <c r="AC7" s="187"/>
      <c r="AD7" s="187"/>
    </row>
    <row r="8" spans="1:30" ht="14.5" x14ac:dyDescent="0.35">
      <c r="A8" s="186">
        <v>45909</v>
      </c>
      <c r="B8" s="187">
        <v>26</v>
      </c>
      <c r="C8" s="187" t="s">
        <v>829</v>
      </c>
      <c r="D8" s="189">
        <v>8955</v>
      </c>
      <c r="E8" s="210" t="s">
        <v>519</v>
      </c>
      <c r="F8" s="210" t="s">
        <v>495</v>
      </c>
      <c r="G8" s="191">
        <v>5373</v>
      </c>
      <c r="H8" s="192">
        <f t="shared" si="0"/>
        <v>0.6</v>
      </c>
      <c r="I8" s="192" t="s">
        <v>582</v>
      </c>
      <c r="J8" s="194">
        <v>5988</v>
      </c>
      <c r="K8" s="211">
        <f>J8/(D8+D9)</f>
        <v>0.5913139652005609</v>
      </c>
      <c r="L8" s="202"/>
      <c r="M8" s="194">
        <v>1668</v>
      </c>
      <c r="N8" s="198">
        <f>M8/(D8+D9)</f>
        <v>0.16471471174925442</v>
      </c>
      <c r="O8" s="199">
        <f>M8+J8</f>
        <v>7656</v>
      </c>
      <c r="P8" s="200">
        <f>N8+K8</f>
        <v>0.75602867694981535</v>
      </c>
      <c r="Q8" s="201"/>
      <c r="R8" s="202">
        <v>3.63</v>
      </c>
      <c r="S8" s="203">
        <v>3.24</v>
      </c>
      <c r="T8" s="209" t="s">
        <v>206</v>
      </c>
      <c r="U8" s="204">
        <v>3</v>
      </c>
      <c r="V8" s="187">
        <v>10.7</v>
      </c>
      <c r="W8" s="187">
        <f>Tabla34[[#This Row],[CANT KG A.TARTARICO]]*$W$2</f>
        <v>2514.5</v>
      </c>
      <c r="X8" s="205">
        <v>4.05</v>
      </c>
      <c r="Y8" s="203">
        <v>6.75</v>
      </c>
      <c r="Z8" s="209" t="s">
        <v>206</v>
      </c>
      <c r="AA8" s="187"/>
      <c r="AB8" s="187"/>
      <c r="AC8" s="187"/>
      <c r="AD8" s="187"/>
    </row>
    <row r="9" spans="1:30" ht="14.5" x14ac:dyDescent="0.35">
      <c r="A9" s="186">
        <v>45911</v>
      </c>
      <c r="B9" s="187">
        <v>3.5</v>
      </c>
      <c r="C9" s="187" t="s">
        <v>292</v>
      </c>
      <c r="D9" s="189">
        <v>1171.5999999999999</v>
      </c>
      <c r="E9" s="212"/>
      <c r="F9" s="212"/>
      <c r="G9" s="191">
        <v>815.75</v>
      </c>
      <c r="H9" s="192">
        <f>G9/D9</f>
        <v>0.69627005804028685</v>
      </c>
      <c r="I9" s="192"/>
      <c r="J9" s="194"/>
      <c r="K9" s="211"/>
      <c r="L9" s="202"/>
      <c r="M9" s="194"/>
      <c r="N9" s="198"/>
      <c r="O9" s="199"/>
      <c r="P9" s="200"/>
      <c r="Q9" s="201"/>
      <c r="R9" s="213"/>
      <c r="S9" s="214"/>
      <c r="T9" s="209"/>
      <c r="U9" s="215"/>
      <c r="V9" s="209"/>
      <c r="W9" s="209">
        <f>Tabla34[[#This Row],[CANT KG A.TARTARICO]]*$W$2</f>
        <v>0</v>
      </c>
      <c r="X9" s="216"/>
      <c r="Y9" s="214"/>
      <c r="Z9" s="209"/>
      <c r="AA9" s="187"/>
      <c r="AB9" s="187"/>
      <c r="AC9" s="187"/>
      <c r="AD9" s="187"/>
    </row>
    <row r="10" spans="1:30" ht="14.5" x14ac:dyDescent="0.35">
      <c r="A10" s="186">
        <v>45910</v>
      </c>
      <c r="B10" s="187">
        <v>13</v>
      </c>
      <c r="C10" s="187" t="s">
        <v>290</v>
      </c>
      <c r="D10" s="189">
        <v>4515.5</v>
      </c>
      <c r="E10" s="190" t="s">
        <v>521</v>
      </c>
      <c r="F10" s="190" t="s">
        <v>522</v>
      </c>
      <c r="G10" s="191">
        <v>2935</v>
      </c>
      <c r="H10" s="192">
        <f>G10/D10</f>
        <v>0.64998339054368282</v>
      </c>
      <c r="I10" s="192" t="s">
        <v>615</v>
      </c>
      <c r="J10" s="194">
        <v>2403</v>
      </c>
      <c r="K10" s="211">
        <f>J10/D10</f>
        <v>0.53216698040084154</v>
      </c>
      <c r="L10" s="196" t="s">
        <v>615</v>
      </c>
      <c r="M10" s="194">
        <v>901</v>
      </c>
      <c r="N10" s="198">
        <f>M10/D10</f>
        <v>0.19953493522312035</v>
      </c>
      <c r="O10" s="199">
        <f>J10+M10</f>
        <v>3304</v>
      </c>
      <c r="P10" s="200">
        <f>O10/D10</f>
        <v>0.73170191562396192</v>
      </c>
      <c r="Q10" s="187" t="s">
        <v>830</v>
      </c>
      <c r="R10" s="202">
        <v>3.58</v>
      </c>
      <c r="S10" s="203">
        <v>3.23</v>
      </c>
      <c r="T10" s="209" t="s">
        <v>206</v>
      </c>
      <c r="U10" s="204">
        <f>(V10*1000)/G10</f>
        <v>1.8466780238500853</v>
      </c>
      <c r="V10" s="187">
        <v>5.42</v>
      </c>
      <c r="W10" s="187">
        <f>Tabla34[[#This Row],[CANT KG A.TARTARICO]]*$W$2</f>
        <v>1273.7</v>
      </c>
      <c r="X10" s="205">
        <v>4.2</v>
      </c>
      <c r="Y10" s="203">
        <v>6.45</v>
      </c>
      <c r="Z10" s="209"/>
      <c r="AA10" s="187"/>
      <c r="AB10" s="187"/>
      <c r="AC10" s="187"/>
      <c r="AD10" s="187"/>
    </row>
    <row r="11" spans="1:30" ht="14.5" x14ac:dyDescent="0.35">
      <c r="A11" s="186">
        <v>45911</v>
      </c>
      <c r="B11" s="187">
        <v>1</v>
      </c>
      <c r="C11" s="187" t="s">
        <v>292</v>
      </c>
      <c r="D11" s="189">
        <v>167</v>
      </c>
      <c r="E11" s="190" t="s">
        <v>527</v>
      </c>
      <c r="F11" s="190" t="s">
        <v>528</v>
      </c>
      <c r="G11" s="191">
        <v>110</v>
      </c>
      <c r="H11" s="192">
        <f>G11/D11</f>
        <v>0.6586826347305389</v>
      </c>
      <c r="I11" s="192" t="s">
        <v>528</v>
      </c>
      <c r="J11" s="194">
        <v>115</v>
      </c>
      <c r="K11" s="211">
        <f>J11/D11</f>
        <v>0.68862275449101795</v>
      </c>
      <c r="L11" s="196" t="s">
        <v>528</v>
      </c>
      <c r="M11" s="194">
        <v>45</v>
      </c>
      <c r="N11" s="198">
        <f>M11/D11</f>
        <v>0.26946107784431139</v>
      </c>
      <c r="O11" s="199">
        <f>M11+J11</f>
        <v>160</v>
      </c>
      <c r="P11" s="217">
        <f>O11/D11</f>
        <v>0.95808383233532934</v>
      </c>
      <c r="Q11" s="201"/>
      <c r="R11" s="202">
        <v>3.69</v>
      </c>
      <c r="S11" s="214"/>
      <c r="T11" s="209"/>
      <c r="U11" s="204">
        <f>(V11*1000)/G11</f>
        <v>3.8545454545454545</v>
      </c>
      <c r="V11" s="187">
        <v>0.42399999999999999</v>
      </c>
      <c r="W11" s="187">
        <f>Tabla34[[#This Row],[CANT KG A.TARTARICO]]*$W$2</f>
        <v>99.64</v>
      </c>
      <c r="X11" s="205">
        <v>3.6</v>
      </c>
      <c r="Y11" s="214"/>
      <c r="Z11" s="209"/>
      <c r="AA11" s="187"/>
      <c r="AB11" s="187"/>
      <c r="AC11" s="187"/>
      <c r="AD11" s="187"/>
    </row>
    <row r="12" spans="1:30" ht="14.5" x14ac:dyDescent="0.35">
      <c r="A12" s="186">
        <v>45912</v>
      </c>
      <c r="B12" s="187">
        <v>15</v>
      </c>
      <c r="C12" s="187" t="s">
        <v>300</v>
      </c>
      <c r="D12" s="189">
        <v>7466</v>
      </c>
      <c r="E12" s="218" t="s">
        <v>538</v>
      </c>
      <c r="F12" s="218" t="s">
        <v>459</v>
      </c>
      <c r="G12" s="191">
        <v>6524</v>
      </c>
      <c r="H12" s="192">
        <f>G12/(D12+D13)</f>
        <v>0.65004812588056415</v>
      </c>
      <c r="I12" s="192" t="s">
        <v>831</v>
      </c>
      <c r="J12" s="194">
        <v>6229</v>
      </c>
      <c r="K12" s="211">
        <f>J12/(D12+D13)</f>
        <v>0.62065447211987024</v>
      </c>
      <c r="L12" s="202"/>
      <c r="M12" s="194"/>
      <c r="N12" s="198"/>
      <c r="O12" s="199"/>
      <c r="P12" s="200"/>
      <c r="Q12" s="201"/>
      <c r="R12" s="202">
        <v>3.61</v>
      </c>
      <c r="S12" s="203">
        <v>3.11</v>
      </c>
      <c r="T12" s="209" t="s">
        <v>206</v>
      </c>
      <c r="U12" s="204">
        <f>(V12*1000)/G12</f>
        <v>2.2992029429797669</v>
      </c>
      <c r="V12" s="187">
        <v>15</v>
      </c>
      <c r="W12" s="187">
        <f>Tabla34[[#This Row],[CANT KG A.TARTARICO]]*$W$2</f>
        <v>3525</v>
      </c>
      <c r="X12" s="205">
        <v>4.6500000000000004</v>
      </c>
      <c r="Y12" s="203">
        <v>6.9</v>
      </c>
      <c r="Z12" s="209" t="s">
        <v>206</v>
      </c>
      <c r="AA12" s="187"/>
      <c r="AB12" s="187"/>
      <c r="AC12" s="187"/>
      <c r="AD12" s="187"/>
    </row>
    <row r="13" spans="1:30" ht="14.5" x14ac:dyDescent="0.35">
      <c r="A13" s="186">
        <v>45912</v>
      </c>
      <c r="B13" s="187">
        <v>6</v>
      </c>
      <c r="C13" s="187" t="s">
        <v>214</v>
      </c>
      <c r="D13" s="189">
        <v>2570.1799999999998</v>
      </c>
      <c r="E13" s="219"/>
      <c r="F13" s="219"/>
      <c r="G13" s="191"/>
      <c r="H13" s="192"/>
      <c r="I13" s="192"/>
      <c r="J13" s="194"/>
      <c r="K13" s="211"/>
      <c r="L13" s="202"/>
      <c r="M13" s="194"/>
      <c r="N13" s="198"/>
      <c r="O13" s="199"/>
      <c r="P13" s="200"/>
      <c r="Q13" s="201"/>
      <c r="R13" s="202"/>
      <c r="S13" s="203"/>
      <c r="T13" s="187"/>
      <c r="U13" s="204"/>
      <c r="V13" s="187"/>
      <c r="W13" s="187">
        <f>Tabla34[[#This Row],[CANT KG A.TARTARICO]]*$W$2</f>
        <v>0</v>
      </c>
      <c r="X13" s="205"/>
      <c r="Y13" s="203"/>
      <c r="Z13" s="209"/>
      <c r="AA13" s="187"/>
      <c r="AB13" s="187"/>
      <c r="AC13" s="187"/>
      <c r="AD13" s="187"/>
    </row>
    <row r="14" spans="1:30" ht="14.5" x14ac:dyDescent="0.35">
      <c r="A14" s="186">
        <v>45912</v>
      </c>
      <c r="B14" s="187">
        <v>15</v>
      </c>
      <c r="C14" s="187" t="s">
        <v>300</v>
      </c>
      <c r="D14" s="189">
        <v>7466</v>
      </c>
      <c r="E14" s="218" t="s">
        <v>540</v>
      </c>
      <c r="F14" s="218" t="s">
        <v>464</v>
      </c>
      <c r="G14" s="191">
        <v>6245</v>
      </c>
      <c r="H14" s="192">
        <f>G14/(D14+D15)</f>
        <v>0.64999136120368617</v>
      </c>
      <c r="I14" s="192" t="s">
        <v>522</v>
      </c>
      <c r="J14" s="194">
        <v>6205</v>
      </c>
      <c r="K14" s="211">
        <f>J14/(D14+D15)</f>
        <v>0.64582808587171703</v>
      </c>
      <c r="L14" s="196" t="s">
        <v>832</v>
      </c>
      <c r="M14" s="194"/>
      <c r="N14" s="198"/>
      <c r="O14" s="199">
        <v>6205</v>
      </c>
      <c r="P14" s="200"/>
      <c r="Q14" s="201"/>
      <c r="R14" s="202">
        <v>3.59</v>
      </c>
      <c r="S14" s="203">
        <v>3.26</v>
      </c>
      <c r="T14" s="209"/>
      <c r="U14" s="204">
        <f>(V14*1000)/G14</f>
        <v>1.200960768614892</v>
      </c>
      <c r="V14" s="187">
        <v>7.5</v>
      </c>
      <c r="W14" s="187">
        <f>Tabla34[[#This Row],[CANT KG A.TARTARICO]]*$W$2</f>
        <v>1762.5</v>
      </c>
      <c r="X14" s="205">
        <v>5.25</v>
      </c>
      <c r="Y14" s="203">
        <v>6.75</v>
      </c>
      <c r="Z14" s="209"/>
      <c r="AA14" s="187"/>
      <c r="AB14" s="187"/>
      <c r="AC14" s="187"/>
      <c r="AD14" s="187"/>
    </row>
    <row r="15" spans="1:30" ht="14.5" x14ac:dyDescent="0.35">
      <c r="A15" s="186">
        <v>45912</v>
      </c>
      <c r="B15" s="187">
        <v>5</v>
      </c>
      <c r="C15" s="187" t="s">
        <v>214</v>
      </c>
      <c r="D15" s="189">
        <v>2141.8200000000002</v>
      </c>
      <c r="E15" s="219"/>
      <c r="F15" s="219"/>
      <c r="G15" s="191"/>
      <c r="H15" s="192"/>
      <c r="I15" s="192"/>
      <c r="J15" s="194"/>
      <c r="K15" s="211"/>
      <c r="L15" s="202"/>
      <c r="M15" s="194"/>
      <c r="N15" s="198"/>
      <c r="O15" s="199"/>
      <c r="P15" s="200"/>
      <c r="Q15" s="201"/>
      <c r="R15" s="213"/>
      <c r="S15" s="214"/>
      <c r="T15" s="209"/>
      <c r="U15" s="215"/>
      <c r="V15" s="209"/>
      <c r="W15" s="209">
        <f>Tabla34[[#This Row],[CANT KG A.TARTARICO]]*$W$2</f>
        <v>0</v>
      </c>
      <c r="X15" s="216"/>
      <c r="Y15" s="214"/>
      <c r="Z15" s="209"/>
      <c r="AA15" s="187"/>
      <c r="AB15" s="187"/>
      <c r="AC15" s="187"/>
      <c r="AD15" s="187"/>
    </row>
    <row r="16" spans="1:30" ht="14.5" x14ac:dyDescent="0.35">
      <c r="A16" s="186">
        <v>45915</v>
      </c>
      <c r="B16" s="187">
        <v>24</v>
      </c>
      <c r="C16" s="187" t="s">
        <v>302</v>
      </c>
      <c r="D16" s="189">
        <v>8565.6</v>
      </c>
      <c r="E16" s="190" t="s">
        <v>542</v>
      </c>
      <c r="F16" s="190" t="s">
        <v>543</v>
      </c>
      <c r="G16" s="191">
        <v>5567.64</v>
      </c>
      <c r="H16" s="192">
        <f>G16/(D16)</f>
        <v>0.65</v>
      </c>
      <c r="I16" s="192" t="s">
        <v>833</v>
      </c>
      <c r="J16" s="194">
        <v>5182</v>
      </c>
      <c r="K16" s="211">
        <f>J16/D16</f>
        <v>0.60497805174185115</v>
      </c>
      <c r="L16" s="196" t="s">
        <v>833</v>
      </c>
      <c r="M16" s="194">
        <v>1296</v>
      </c>
      <c r="N16" s="198">
        <f>M16/D16</f>
        <v>0.15130288596245448</v>
      </c>
      <c r="O16" s="199">
        <f>M16+J16</f>
        <v>6478</v>
      </c>
      <c r="P16" s="200">
        <f>N16+K16</f>
        <v>0.7562809377043056</v>
      </c>
      <c r="Q16" s="201" t="s">
        <v>834</v>
      </c>
      <c r="R16" s="202">
        <v>3.61</v>
      </c>
      <c r="S16" s="203">
        <v>3.31</v>
      </c>
      <c r="T16" s="209"/>
      <c r="U16" s="204"/>
      <c r="V16" s="187"/>
      <c r="W16" s="187">
        <f>Tabla34[[#This Row],[CANT KG A.TARTARICO]]*$W$2</f>
        <v>0</v>
      </c>
      <c r="X16" s="205">
        <v>4.6500000000000004</v>
      </c>
      <c r="Y16" s="203">
        <v>6.45</v>
      </c>
      <c r="Z16" s="209"/>
      <c r="AA16" s="187"/>
      <c r="AB16" s="187"/>
      <c r="AC16" s="187"/>
      <c r="AD16" s="187"/>
    </row>
    <row r="17" spans="1:30" ht="14.5" x14ac:dyDescent="0.35">
      <c r="A17" s="186">
        <v>45915</v>
      </c>
      <c r="B17" s="187">
        <v>14</v>
      </c>
      <c r="C17" s="187" t="s">
        <v>302</v>
      </c>
      <c r="D17" s="189">
        <v>4998.8999999999996</v>
      </c>
      <c r="E17" s="190" t="s">
        <v>545</v>
      </c>
      <c r="F17" s="190" t="s">
        <v>508</v>
      </c>
      <c r="G17" s="191">
        <v>3249.29</v>
      </c>
      <c r="H17" s="192">
        <f>G17/(D17)</f>
        <v>0.65000100022004847</v>
      </c>
      <c r="I17" s="192" t="s">
        <v>835</v>
      </c>
      <c r="J17" s="194">
        <v>3538</v>
      </c>
      <c r="K17" s="211">
        <f>J17/D17</f>
        <v>0.7077557062553762</v>
      </c>
      <c r="L17" s="196" t="s">
        <v>835</v>
      </c>
      <c r="M17" s="207">
        <f>O17-J17</f>
        <v>698</v>
      </c>
      <c r="N17" s="198">
        <f>M17/D17</f>
        <v>0.1396307187581268</v>
      </c>
      <c r="O17" s="199">
        <v>4236</v>
      </c>
      <c r="P17" s="200">
        <f>N17+K17</f>
        <v>0.84738642501350303</v>
      </c>
      <c r="Q17" s="201"/>
      <c r="R17" s="202">
        <v>3.56</v>
      </c>
      <c r="S17" s="203">
        <v>3.43</v>
      </c>
      <c r="T17" s="209" t="s">
        <v>206</v>
      </c>
      <c r="U17" s="204"/>
      <c r="V17" s="187"/>
      <c r="W17" s="187">
        <f>Tabla34[[#This Row],[CANT KG A.TARTARICO]]*$W$2</f>
        <v>0</v>
      </c>
      <c r="X17" s="205">
        <v>4.95</v>
      </c>
      <c r="Y17" s="203">
        <v>5.85</v>
      </c>
      <c r="Z17" s="209"/>
      <c r="AA17" s="187"/>
      <c r="AB17" s="187"/>
      <c r="AC17" s="187"/>
      <c r="AD17" s="187"/>
    </row>
    <row r="18" spans="1:30" ht="14.5" x14ac:dyDescent="0.35">
      <c r="A18" s="186">
        <v>45917</v>
      </c>
      <c r="B18" s="187">
        <v>16</v>
      </c>
      <c r="C18" s="187" t="s">
        <v>313</v>
      </c>
      <c r="D18" s="189">
        <v>5783.5</v>
      </c>
      <c r="E18" s="190" t="s">
        <v>547</v>
      </c>
      <c r="F18" s="190" t="s">
        <v>517</v>
      </c>
      <c r="G18" s="191">
        <v>3759</v>
      </c>
      <c r="H18" s="192">
        <f t="shared" ref="H18:H19" si="1">G18/(D18)</f>
        <v>0.64995245093801335</v>
      </c>
      <c r="I18" s="192" t="s">
        <v>836</v>
      </c>
      <c r="J18" s="194">
        <v>3293</v>
      </c>
      <c r="K18" s="211">
        <f>J18/D18</f>
        <v>0.56937840408057405</v>
      </c>
      <c r="L18" s="196" t="s">
        <v>836</v>
      </c>
      <c r="M18" s="207">
        <f>O18-J18</f>
        <v>1095</v>
      </c>
      <c r="N18" s="198">
        <f>M18/D18</f>
        <v>0.18933171954698713</v>
      </c>
      <c r="O18" s="199">
        <v>4388</v>
      </c>
      <c r="P18" s="200">
        <f>N18+K18</f>
        <v>0.75871012362756118</v>
      </c>
      <c r="Q18" s="201"/>
      <c r="R18" s="202">
        <v>3.53</v>
      </c>
      <c r="S18" s="214" t="s">
        <v>206</v>
      </c>
      <c r="T18" s="209" t="s">
        <v>206</v>
      </c>
      <c r="U18" s="204">
        <f>(SUM(V18)*1000)/(G17+G18)</f>
        <v>1.61237620018578</v>
      </c>
      <c r="V18" s="187">
        <v>11.3</v>
      </c>
      <c r="W18" s="187">
        <f>Tabla34[[#This Row],[CANT KG A.TARTARICO]]*$W$2</f>
        <v>2655.5</v>
      </c>
      <c r="X18" s="205">
        <v>5.85</v>
      </c>
      <c r="Y18" s="214" t="s">
        <v>206</v>
      </c>
      <c r="Z18" s="209"/>
      <c r="AA18" s="187"/>
      <c r="AB18" s="187"/>
      <c r="AC18" s="187"/>
      <c r="AD18" s="187"/>
    </row>
    <row r="19" spans="1:30" ht="14.5" x14ac:dyDescent="0.35">
      <c r="A19" s="186">
        <v>45917</v>
      </c>
      <c r="B19" s="187">
        <v>11</v>
      </c>
      <c r="C19" s="187" t="s">
        <v>549</v>
      </c>
      <c r="D19" s="189">
        <v>4904</v>
      </c>
      <c r="E19" s="210" t="s">
        <v>551</v>
      </c>
      <c r="F19" s="220" t="s">
        <v>452</v>
      </c>
      <c r="G19" s="191">
        <v>3188</v>
      </c>
      <c r="H19" s="192">
        <f t="shared" si="1"/>
        <v>0.65008156606851553</v>
      </c>
      <c r="I19" s="192" t="s">
        <v>833</v>
      </c>
      <c r="J19" s="194">
        <v>4338</v>
      </c>
      <c r="K19" s="211">
        <f>J19/(D19+D20)</f>
        <v>0.58404577583305284</v>
      </c>
      <c r="L19" s="202" t="s">
        <v>833</v>
      </c>
      <c r="M19" s="207">
        <v>1268</v>
      </c>
      <c r="N19" s="198">
        <f>M19/(D19+D20)</f>
        <v>0.17071693032648941</v>
      </c>
      <c r="O19" s="199">
        <f>M19+J19</f>
        <v>5606</v>
      </c>
      <c r="P19" s="200">
        <f t="shared" ref="P19:P32" si="2">N19+K19</f>
        <v>0.75476270615954222</v>
      </c>
      <c r="Q19" s="201"/>
      <c r="R19" s="202">
        <v>3.25</v>
      </c>
      <c r="S19" s="203">
        <v>3.27</v>
      </c>
      <c r="T19" s="209"/>
      <c r="U19" s="204">
        <f>(SUM(V19)*1000)/(G19+G20)</f>
        <v>2.4772162386081193</v>
      </c>
      <c r="V19" s="187">
        <f>9.5+2.46</f>
        <v>11.96</v>
      </c>
      <c r="W19" s="187">
        <f>Tabla34[[#This Row],[CANT KG A.TARTARICO]]*$W$2</f>
        <v>2810.6000000000004</v>
      </c>
      <c r="X19" s="205">
        <v>6.75</v>
      </c>
      <c r="Y19" s="203">
        <v>6.9</v>
      </c>
      <c r="Z19" s="209"/>
      <c r="AA19" s="187"/>
      <c r="AB19" s="187"/>
      <c r="AC19" s="187"/>
      <c r="AD19" s="187"/>
    </row>
    <row r="20" spans="1:30" ht="14.5" x14ac:dyDescent="0.35">
      <c r="A20" s="186">
        <v>45918</v>
      </c>
      <c r="B20" s="187">
        <v>6</v>
      </c>
      <c r="C20" s="187" t="s">
        <v>550</v>
      </c>
      <c r="D20" s="189">
        <v>2523.5</v>
      </c>
      <c r="E20" s="212"/>
      <c r="F20" s="190" t="s">
        <v>837</v>
      </c>
      <c r="G20" s="191">
        <v>1640</v>
      </c>
      <c r="H20" s="192">
        <f>G20/(D20)</f>
        <v>0.64989102437091339</v>
      </c>
      <c r="I20" s="192"/>
      <c r="J20" s="194"/>
      <c r="K20" s="211"/>
      <c r="L20" s="202"/>
      <c r="M20" s="207"/>
      <c r="N20" s="198"/>
      <c r="O20" s="199"/>
      <c r="P20" s="200"/>
      <c r="Q20" s="201"/>
      <c r="R20" s="213"/>
      <c r="S20" s="214"/>
      <c r="T20" s="209"/>
      <c r="U20" s="215"/>
      <c r="V20" s="209"/>
      <c r="W20" s="209">
        <f>Tabla34[[#This Row],[CANT KG A.TARTARICO]]*$W$2</f>
        <v>0</v>
      </c>
      <c r="X20" s="216"/>
      <c r="Y20" s="214"/>
      <c r="Z20" s="209"/>
      <c r="AA20" s="187"/>
      <c r="AB20" s="187"/>
      <c r="AC20" s="187"/>
      <c r="AD20" s="187"/>
    </row>
    <row r="21" spans="1:30" ht="14.5" x14ac:dyDescent="0.35">
      <c r="A21" s="186">
        <v>45921</v>
      </c>
      <c r="B21" s="187">
        <v>18</v>
      </c>
      <c r="C21" s="221" t="s">
        <v>549</v>
      </c>
      <c r="D21" s="189">
        <v>8053</v>
      </c>
      <c r="E21" s="190" t="s">
        <v>591</v>
      </c>
      <c r="F21" s="190" t="s">
        <v>565</v>
      </c>
      <c r="G21" s="191">
        <v>5234</v>
      </c>
      <c r="H21" s="192">
        <f>G21/(D21)</f>
        <v>0.64994412020365078</v>
      </c>
      <c r="I21" s="222" t="s">
        <v>838</v>
      </c>
      <c r="J21" s="194">
        <v>4734</v>
      </c>
      <c r="K21" s="223">
        <f>Tabla34[[#This Row],[VOL DESVINE]]/Tabla34[[#This Row],[KG]]</f>
        <v>0.58785545759344349</v>
      </c>
      <c r="L21" s="202" t="s">
        <v>683</v>
      </c>
      <c r="M21" s="224">
        <v>467</v>
      </c>
      <c r="N21" s="225">
        <f>Tabla34[[#This Row],[VOL (L)]]/Tabla34[[#This Row],[KG]]</f>
        <v>5.7990810877933688E-2</v>
      </c>
      <c r="O21" s="226"/>
      <c r="P21" s="227">
        <f t="shared" si="2"/>
        <v>0.64584626847137716</v>
      </c>
      <c r="Q21" s="228"/>
      <c r="R21" s="202">
        <v>3.43</v>
      </c>
      <c r="S21" s="203" t="s">
        <v>206</v>
      </c>
      <c r="T21" s="209" t="s">
        <v>206</v>
      </c>
      <c r="U21" s="204">
        <f>(V21*1000)/G21</f>
        <v>2.2927015666794039</v>
      </c>
      <c r="V21" s="187">
        <v>12</v>
      </c>
      <c r="W21" s="187">
        <f>Tabla34[[#This Row],[CANT KG A.TARTARICO]]*$W$2</f>
        <v>2820</v>
      </c>
      <c r="X21" s="205">
        <v>6.9</v>
      </c>
      <c r="Y21" s="203" t="s">
        <v>206</v>
      </c>
      <c r="Z21" s="209" t="s">
        <v>206</v>
      </c>
      <c r="AA21" s="187"/>
      <c r="AB21" s="187"/>
      <c r="AC21" s="187"/>
      <c r="AD21" s="187"/>
    </row>
    <row r="22" spans="1:30" ht="14.5" x14ac:dyDescent="0.35">
      <c r="A22" s="186">
        <v>45921</v>
      </c>
      <c r="B22" s="187">
        <v>40</v>
      </c>
      <c r="C22" s="188" t="s">
        <v>839</v>
      </c>
      <c r="D22" s="189">
        <v>15995.2</v>
      </c>
      <c r="E22" s="190" t="s">
        <v>595</v>
      </c>
      <c r="F22" s="190" t="s">
        <v>596</v>
      </c>
      <c r="G22" s="191">
        <v>10396.879999999999</v>
      </c>
      <c r="H22" s="192">
        <f>G22/(D22)</f>
        <v>0.64999999999999991</v>
      </c>
      <c r="I22" s="192" t="s">
        <v>840</v>
      </c>
      <c r="J22" s="194">
        <v>8242</v>
      </c>
      <c r="K22" s="211">
        <f>J22/D22</f>
        <v>0.51527958387516248</v>
      </c>
      <c r="L22" s="229" t="s">
        <v>840</v>
      </c>
      <c r="M22" s="230">
        <f>O22-J22</f>
        <v>4259</v>
      </c>
      <c r="N22" s="198">
        <f>M22/D22</f>
        <v>0.26626738021406421</v>
      </c>
      <c r="O22" s="199">
        <v>12501</v>
      </c>
      <c r="P22" s="200">
        <f t="shared" si="2"/>
        <v>0.78154696408922675</v>
      </c>
      <c r="Q22" s="201"/>
      <c r="R22" s="202">
        <v>3.51</v>
      </c>
      <c r="S22" s="203">
        <v>3.53</v>
      </c>
      <c r="T22" s="209"/>
      <c r="U22" s="204">
        <f>(V22*1000)/G22</f>
        <v>2.3728272327852205</v>
      </c>
      <c r="V22" s="187">
        <f>14.8+9.87</f>
        <v>24.67</v>
      </c>
      <c r="W22" s="187">
        <f>Tabla34[[#This Row],[CANT KG A.TARTARICO]]*$W$2</f>
        <v>5797.4500000000007</v>
      </c>
      <c r="X22" s="205">
        <v>5.7</v>
      </c>
      <c r="Y22" s="203">
        <v>6.6</v>
      </c>
      <c r="Z22" s="209"/>
      <c r="AA22" s="187"/>
      <c r="AB22" s="187"/>
      <c r="AC22" s="187"/>
      <c r="AD22" s="187"/>
    </row>
    <row r="23" spans="1:30" ht="14.5" x14ac:dyDescent="0.35">
      <c r="A23" s="186">
        <v>45921</v>
      </c>
      <c r="B23" s="187">
        <v>9</v>
      </c>
      <c r="C23" s="221" t="s">
        <v>839</v>
      </c>
      <c r="D23" s="189">
        <v>3599.1</v>
      </c>
      <c r="E23" s="210" t="s">
        <v>600</v>
      </c>
      <c r="F23" s="190" t="s">
        <v>601</v>
      </c>
      <c r="G23" s="191">
        <v>9584.7000000000007</v>
      </c>
      <c r="H23" s="192">
        <f>G23/(D23+D24)</f>
        <v>0.63026718641499913</v>
      </c>
      <c r="I23" s="192" t="s">
        <v>840</v>
      </c>
      <c r="J23" s="194">
        <v>6299</v>
      </c>
      <c r="K23" s="211">
        <f>(J23+J24)/(D23+D24)</f>
        <v>0.49094648906845106</v>
      </c>
      <c r="L23" s="202" t="s">
        <v>683</v>
      </c>
      <c r="M23" s="207">
        <v>1468</v>
      </c>
      <c r="N23" s="198">
        <f>M23/(D23+D24)</f>
        <v>9.6532205458409612E-2</v>
      </c>
      <c r="O23" s="199">
        <f>M23+J23+J24</f>
        <v>8934</v>
      </c>
      <c r="P23" s="200">
        <f t="shared" si="2"/>
        <v>0.58747869452686063</v>
      </c>
      <c r="Q23" s="201"/>
      <c r="R23" s="202">
        <v>3.05</v>
      </c>
      <c r="S23" s="203">
        <v>3.32</v>
      </c>
      <c r="T23" s="209"/>
      <c r="U23" s="204">
        <f>(V23*1000)/G23</f>
        <v>2.5738938099262363</v>
      </c>
      <c r="V23" s="187">
        <v>24.67</v>
      </c>
      <c r="W23" s="187">
        <f>Tabla34[[#This Row],[CANT KG A.TARTARICO]]*$W$2</f>
        <v>5797.4500000000007</v>
      </c>
      <c r="X23" s="205">
        <v>9.4499999999999993</v>
      </c>
      <c r="Y23" s="203">
        <v>6.6</v>
      </c>
      <c r="Z23" s="209"/>
      <c r="AA23" s="187"/>
      <c r="AB23" s="187"/>
      <c r="AC23" s="187"/>
      <c r="AD23" s="187"/>
    </row>
    <row r="24" spans="1:30" ht="14.5" x14ac:dyDescent="0.35">
      <c r="A24" s="186">
        <v>45921</v>
      </c>
      <c r="B24" s="187">
        <v>31</v>
      </c>
      <c r="C24" s="188" t="s">
        <v>233</v>
      </c>
      <c r="D24" s="189">
        <v>11608.26</v>
      </c>
      <c r="E24" s="212"/>
      <c r="F24" s="190" t="s">
        <v>841</v>
      </c>
      <c r="G24" s="191"/>
      <c r="H24" s="192"/>
      <c r="I24" s="192" t="s">
        <v>683</v>
      </c>
      <c r="J24" s="194">
        <v>1167</v>
      </c>
      <c r="K24" s="211"/>
      <c r="L24" s="202" t="s">
        <v>842</v>
      </c>
      <c r="M24" s="207"/>
      <c r="N24" s="198"/>
      <c r="O24" s="199"/>
      <c r="P24" s="200"/>
      <c r="Q24" s="201"/>
      <c r="R24" s="213"/>
      <c r="S24" s="214"/>
      <c r="T24" s="209"/>
      <c r="U24" s="215"/>
      <c r="V24" s="209"/>
      <c r="W24" s="209">
        <f>Tabla34[[#This Row],[CANT KG A.TARTARICO]]*$W$2</f>
        <v>0</v>
      </c>
      <c r="X24" s="216"/>
      <c r="Y24" s="214"/>
      <c r="Z24" s="209"/>
      <c r="AA24" s="187"/>
      <c r="AB24" s="187"/>
      <c r="AC24" s="187"/>
      <c r="AD24" s="187"/>
    </row>
    <row r="25" spans="1:30" ht="14.5" x14ac:dyDescent="0.35">
      <c r="A25" s="231">
        <v>45921</v>
      </c>
      <c r="B25" s="187">
        <v>3</v>
      </c>
      <c r="C25" s="188" t="s">
        <v>330</v>
      </c>
      <c r="D25" s="189">
        <v>1337</v>
      </c>
      <c r="E25" s="190" t="s">
        <v>200</v>
      </c>
      <c r="F25" s="190" t="s">
        <v>603</v>
      </c>
      <c r="G25" s="191">
        <v>1012.5</v>
      </c>
      <c r="H25" s="192">
        <f>G25/D25</f>
        <v>0.75729244577412114</v>
      </c>
      <c r="I25" s="192" t="s">
        <v>200</v>
      </c>
      <c r="J25" s="194">
        <v>600</v>
      </c>
      <c r="K25" s="211">
        <f>J25/(D25+D26)</f>
        <v>0.21314387211367672</v>
      </c>
      <c r="L25" s="202" t="s">
        <v>501</v>
      </c>
      <c r="M25" s="207">
        <f>O25-J25</f>
        <v>525</v>
      </c>
      <c r="N25" s="198">
        <f>M25/(D25+D26)</f>
        <v>0.18650088809946713</v>
      </c>
      <c r="O25" s="199">
        <v>1125</v>
      </c>
      <c r="P25" s="200">
        <f>N25+K25</f>
        <v>0.39964476021314388</v>
      </c>
      <c r="Q25" s="201"/>
      <c r="R25" s="202"/>
      <c r="S25" s="203">
        <v>3.26</v>
      </c>
      <c r="T25" s="209"/>
      <c r="U25" s="204">
        <f>(V25*1000)/G25</f>
        <v>2</v>
      </c>
      <c r="V25" s="187">
        <f>2.025</f>
        <v>2.0249999999999999</v>
      </c>
      <c r="W25" s="187">
        <f>Tabla34[[#This Row],[CANT KG A.TARTARICO]]*$W$2</f>
        <v>475.875</v>
      </c>
      <c r="X25" s="205">
        <v>0.27083333333333331</v>
      </c>
      <c r="Y25" s="203"/>
      <c r="Z25" s="209"/>
      <c r="AA25" s="187"/>
      <c r="AB25" s="187"/>
      <c r="AC25" s="187"/>
      <c r="AD25" s="187"/>
    </row>
    <row r="26" spans="1:30" ht="14.5" x14ac:dyDescent="0.35">
      <c r="A26" s="186">
        <v>45921</v>
      </c>
      <c r="B26" s="187">
        <v>3</v>
      </c>
      <c r="C26" s="188" t="s">
        <v>332</v>
      </c>
      <c r="D26" s="189">
        <v>1478</v>
      </c>
      <c r="E26" s="190" t="s">
        <v>200</v>
      </c>
      <c r="F26" s="190" t="s">
        <v>605</v>
      </c>
      <c r="G26" s="191">
        <v>946</v>
      </c>
      <c r="H26" s="192">
        <f>G26/D26</f>
        <v>0.64005412719891741</v>
      </c>
      <c r="I26" s="192" t="s">
        <v>200</v>
      </c>
      <c r="J26" s="194"/>
      <c r="K26" s="211"/>
      <c r="L26" s="202"/>
      <c r="M26" s="207"/>
      <c r="N26" s="198"/>
      <c r="O26" s="199"/>
      <c r="P26" s="200"/>
      <c r="Q26" s="201"/>
      <c r="R26" s="202">
        <v>3.95</v>
      </c>
      <c r="S26" s="203">
        <v>3.37</v>
      </c>
      <c r="T26" s="209"/>
      <c r="U26" s="204">
        <f>(V26*1000)/G26</f>
        <v>1.9154334038054968</v>
      </c>
      <c r="V26" s="187">
        <v>1.8120000000000001</v>
      </c>
      <c r="W26" s="187">
        <f>Tabla34[[#This Row],[CANT KG A.TARTARICO]]*$W$2</f>
        <v>425.82</v>
      </c>
      <c r="X26" s="205">
        <v>3.3</v>
      </c>
      <c r="Y26" s="203">
        <v>5.7</v>
      </c>
      <c r="Z26" s="209"/>
      <c r="AA26" s="187"/>
      <c r="AB26" s="187"/>
      <c r="AC26" s="187"/>
      <c r="AD26" s="187"/>
    </row>
    <row r="27" spans="1:30" ht="14.5" x14ac:dyDescent="0.35">
      <c r="A27" s="186">
        <v>45923</v>
      </c>
      <c r="B27" s="187">
        <v>33</v>
      </c>
      <c r="C27" s="188" t="s">
        <v>334</v>
      </c>
      <c r="D27" s="189">
        <v>12411.5</v>
      </c>
      <c r="E27" s="210" t="s">
        <v>608</v>
      </c>
      <c r="F27" s="210" t="s">
        <v>489</v>
      </c>
      <c r="G27" s="191">
        <v>9771</v>
      </c>
      <c r="H27" s="192">
        <f>G27/(D27+D28)</f>
        <v>0.64998130746623706</v>
      </c>
      <c r="I27" s="192" t="s">
        <v>843</v>
      </c>
      <c r="J27" s="194">
        <v>7575</v>
      </c>
      <c r="K27" s="211">
        <f>J27/(D27+D28)</f>
        <v>0.50390015393068732</v>
      </c>
      <c r="L27" s="202" t="s">
        <v>843</v>
      </c>
      <c r="M27" s="207">
        <f>O27-J27</f>
        <v>1975</v>
      </c>
      <c r="N27" s="232">
        <f>M27/(D27+D28)</f>
        <v>0.13137990812054223</v>
      </c>
      <c r="O27" s="199">
        <v>9550</v>
      </c>
      <c r="P27" s="200">
        <f t="shared" si="2"/>
        <v>0.63528006205122955</v>
      </c>
      <c r="Q27" s="201"/>
      <c r="R27" s="202">
        <v>3.42</v>
      </c>
      <c r="S27" s="203" t="s">
        <v>206</v>
      </c>
      <c r="T27" s="209" t="s">
        <v>206</v>
      </c>
      <c r="U27" s="233">
        <f>(V27*1000)/G27</f>
        <v>1.5044519496469144</v>
      </c>
      <c r="V27" s="187">
        <v>14.7</v>
      </c>
      <c r="W27" s="187">
        <f>Tabla34[[#This Row],[CANT KG A.TARTARICO]]*$W$2</f>
        <v>3454.5</v>
      </c>
      <c r="X27" s="205">
        <v>6.75</v>
      </c>
      <c r="Y27" s="203"/>
      <c r="Z27" s="209"/>
      <c r="AA27" s="187"/>
      <c r="AB27" s="187"/>
      <c r="AC27" s="187"/>
      <c r="AD27" s="187"/>
    </row>
    <row r="28" spans="1:30" ht="14.5" x14ac:dyDescent="0.35">
      <c r="A28" s="186">
        <v>45923</v>
      </c>
      <c r="B28" s="187">
        <v>7</v>
      </c>
      <c r="C28" s="188" t="s">
        <v>233</v>
      </c>
      <c r="D28" s="189">
        <v>2621.2399999999998</v>
      </c>
      <c r="E28" s="212"/>
      <c r="F28" s="212"/>
      <c r="G28" s="191"/>
      <c r="H28" s="192"/>
      <c r="I28" s="192"/>
      <c r="J28" s="194"/>
      <c r="K28" s="211" t="s">
        <v>844</v>
      </c>
      <c r="L28" s="202"/>
      <c r="M28" s="207"/>
      <c r="N28" s="198"/>
      <c r="O28" s="199"/>
      <c r="P28" s="200"/>
      <c r="Q28" s="201"/>
      <c r="R28" s="213"/>
      <c r="S28" s="214"/>
      <c r="T28" s="209"/>
      <c r="U28" s="215"/>
      <c r="V28" s="209"/>
      <c r="W28" s="209">
        <f>Tabla34[[#This Row],[CANT KG A.TARTARICO]]*$W$2</f>
        <v>0</v>
      </c>
      <c r="X28" s="216"/>
      <c r="Y28" s="214"/>
      <c r="Z28" s="209"/>
      <c r="AA28" s="187"/>
      <c r="AB28" s="187"/>
      <c r="AC28" s="187"/>
      <c r="AD28" s="187"/>
    </row>
    <row r="29" spans="1:30" ht="14.5" x14ac:dyDescent="0.35">
      <c r="A29" s="186">
        <v>45925</v>
      </c>
      <c r="B29" s="187">
        <v>7</v>
      </c>
      <c r="C29" s="187" t="s">
        <v>337</v>
      </c>
      <c r="D29" s="189">
        <v>2821</v>
      </c>
      <c r="E29" s="210" t="s">
        <v>611</v>
      </c>
      <c r="F29" s="210" t="s">
        <v>582</v>
      </c>
      <c r="G29" s="191">
        <f>(D29+D30)*0.65</f>
        <v>3614.65</v>
      </c>
      <c r="H29" s="192">
        <f t="shared" ref="H29" si="3">G29/(D29+D30)</f>
        <v>0.65</v>
      </c>
      <c r="I29" s="192" t="s">
        <v>517</v>
      </c>
      <c r="J29" s="194">
        <v>2469</v>
      </c>
      <c r="K29" s="211">
        <f>J29/(D29+D30)</f>
        <v>0.44398489480309294</v>
      </c>
      <c r="L29" s="202" t="s">
        <v>517</v>
      </c>
      <c r="M29" s="207">
        <f>O29-J29</f>
        <v>1468</v>
      </c>
      <c r="N29" s="198">
        <f>M29/(D29+D30)</f>
        <v>0.26398129832763889</v>
      </c>
      <c r="O29" s="199">
        <v>3937</v>
      </c>
      <c r="P29" s="200">
        <f t="shared" si="2"/>
        <v>0.70796619313073184</v>
      </c>
      <c r="Q29" s="201"/>
      <c r="R29" s="202">
        <v>3.2</v>
      </c>
      <c r="S29" s="203">
        <v>3.44</v>
      </c>
      <c r="T29" s="209"/>
      <c r="U29" s="204">
        <f>(V29*1000)/G29</f>
        <v>4.0114533910613748</v>
      </c>
      <c r="V29" s="187">
        <v>14.5</v>
      </c>
      <c r="W29" s="187">
        <f>Tabla34[[#This Row],[CANT KG A.TARTARICO]]*$W$2</f>
        <v>3407.5</v>
      </c>
      <c r="X29" s="205">
        <v>8.4</v>
      </c>
      <c r="Y29" s="203">
        <v>7.05</v>
      </c>
      <c r="Z29" s="209"/>
      <c r="AA29" s="187"/>
      <c r="AB29" s="187"/>
      <c r="AC29" s="187"/>
      <c r="AD29" s="187"/>
    </row>
    <row r="30" spans="1:30" ht="14.5" x14ac:dyDescent="0.35">
      <c r="A30" s="186">
        <v>45925</v>
      </c>
      <c r="B30" s="187">
        <v>7</v>
      </c>
      <c r="C30" s="187" t="s">
        <v>339</v>
      </c>
      <c r="D30" s="189">
        <v>2740</v>
      </c>
      <c r="E30" s="212"/>
      <c r="F30" s="212"/>
      <c r="G30" s="191"/>
      <c r="H30" s="192"/>
      <c r="I30" s="192"/>
      <c r="J30" s="194"/>
      <c r="K30" s="211"/>
      <c r="L30" s="202"/>
      <c r="M30" s="207"/>
      <c r="N30" s="198"/>
      <c r="O30" s="199"/>
      <c r="P30" s="200"/>
      <c r="Q30" s="201"/>
      <c r="R30" s="213"/>
      <c r="S30" s="214"/>
      <c r="T30" s="209"/>
      <c r="U30" s="215"/>
      <c r="V30" s="209"/>
      <c r="W30" s="209">
        <f>Tabla34[[#This Row],[CANT KG A.TARTARICO]]*$W$2</f>
        <v>0</v>
      </c>
      <c r="X30" s="216"/>
      <c r="Y30" s="214"/>
      <c r="Z30" s="209"/>
      <c r="AA30" s="187"/>
      <c r="AB30" s="187"/>
      <c r="AC30" s="187"/>
      <c r="AD30" s="187"/>
    </row>
    <row r="31" spans="1:30" ht="14.5" x14ac:dyDescent="0.35">
      <c r="A31" s="186">
        <v>45926</v>
      </c>
      <c r="B31" s="187">
        <v>22</v>
      </c>
      <c r="C31" s="188" t="s">
        <v>341</v>
      </c>
      <c r="D31" s="189">
        <v>8075</v>
      </c>
      <c r="E31" s="190" t="s">
        <v>617</v>
      </c>
      <c r="F31" s="190" t="s">
        <v>464</v>
      </c>
      <c r="G31" s="191">
        <v>5243</v>
      </c>
      <c r="H31" s="192">
        <f>G31/(D31)</f>
        <v>0.64928792569659444</v>
      </c>
      <c r="I31" s="192" t="s">
        <v>845</v>
      </c>
      <c r="J31" s="194">
        <v>4585</v>
      </c>
      <c r="K31" s="211">
        <f t="shared" ref="K31:K40" si="4">J31/D31</f>
        <v>0.56780185758513935</v>
      </c>
      <c r="L31" s="234" t="s">
        <v>846</v>
      </c>
      <c r="M31" s="235"/>
      <c r="N31" s="235"/>
      <c r="O31" s="236"/>
      <c r="P31" s="200">
        <f t="shared" si="2"/>
        <v>0.56780185758513935</v>
      </c>
      <c r="Q31" s="201"/>
      <c r="R31" s="202">
        <v>3.45</v>
      </c>
      <c r="S31" s="214" t="s">
        <v>206</v>
      </c>
      <c r="T31" s="209" t="s">
        <v>206</v>
      </c>
      <c r="U31" s="204">
        <f t="shared" ref="U31:U44" si="5">(V31*1000)/G31</f>
        <v>3.1851993133702079</v>
      </c>
      <c r="V31" s="187">
        <v>16.7</v>
      </c>
      <c r="W31" s="187">
        <f>Tabla34[[#This Row],[CANT KG A.TARTARICO]]*$W$2</f>
        <v>3924.5</v>
      </c>
      <c r="X31" s="205">
        <v>5.55</v>
      </c>
      <c r="Y31" s="214" t="s">
        <v>206</v>
      </c>
      <c r="Z31" s="209"/>
      <c r="AA31" s="187"/>
      <c r="AB31" s="187"/>
      <c r="AC31" s="187"/>
      <c r="AD31" s="187"/>
    </row>
    <row r="32" spans="1:30" ht="14.5" x14ac:dyDescent="0.35">
      <c r="A32" s="186">
        <v>45926</v>
      </c>
      <c r="B32" s="187">
        <v>20</v>
      </c>
      <c r="C32" s="188" t="s">
        <v>343</v>
      </c>
      <c r="D32" s="189">
        <v>7455</v>
      </c>
      <c r="E32" s="190" t="s">
        <v>619</v>
      </c>
      <c r="F32" s="190" t="s">
        <v>452</v>
      </c>
      <c r="G32" s="191">
        <v>4846</v>
      </c>
      <c r="H32" s="192">
        <f>G32/(D32)</f>
        <v>0.65003353454057677</v>
      </c>
      <c r="I32" s="192" t="s">
        <v>847</v>
      </c>
      <c r="J32" s="194">
        <v>3570</v>
      </c>
      <c r="K32" s="211">
        <f t="shared" si="4"/>
        <v>0.47887323943661969</v>
      </c>
      <c r="L32" s="202" t="s">
        <v>847</v>
      </c>
      <c r="M32" s="207">
        <f>O32-J32</f>
        <v>1951</v>
      </c>
      <c r="N32" s="198">
        <f t="shared" ref="N32:N38" si="6">M32/D32</f>
        <v>0.26170355466130113</v>
      </c>
      <c r="O32" s="199">
        <v>5521</v>
      </c>
      <c r="P32" s="200">
        <f t="shared" si="2"/>
        <v>0.74057679409792088</v>
      </c>
      <c r="Q32" s="201"/>
      <c r="R32" s="202">
        <v>3.24</v>
      </c>
      <c r="S32" s="214" t="s">
        <v>206</v>
      </c>
      <c r="T32" s="209" t="s">
        <v>206</v>
      </c>
      <c r="U32" s="204">
        <f t="shared" si="5"/>
        <v>3.5080478745356993</v>
      </c>
      <c r="V32" s="187">
        <v>17</v>
      </c>
      <c r="W32" s="187">
        <f>Tabla34[[#This Row],[CANT KG A.TARTARICO]]*$W$2</f>
        <v>3995</v>
      </c>
      <c r="X32" s="205">
        <v>7.65</v>
      </c>
      <c r="Y32" s="214" t="s">
        <v>206</v>
      </c>
      <c r="Z32" s="209"/>
      <c r="AA32" s="187"/>
      <c r="AB32" s="187"/>
      <c r="AC32" s="187"/>
      <c r="AD32" s="187"/>
    </row>
    <row r="33" spans="1:31" ht="14.5" x14ac:dyDescent="0.35">
      <c r="A33" s="186">
        <v>45927</v>
      </c>
      <c r="B33" s="187">
        <v>25</v>
      </c>
      <c r="C33" s="188" t="s">
        <v>347</v>
      </c>
      <c r="D33" s="189">
        <v>9436.75</v>
      </c>
      <c r="E33" s="190" t="s">
        <v>625</v>
      </c>
      <c r="F33" s="190" t="s">
        <v>498</v>
      </c>
      <c r="G33" s="191">
        <f>D33*0.65</f>
        <v>6133.8874999999998</v>
      </c>
      <c r="H33" s="192">
        <f t="shared" ref="H33:H42" si="7">G33/(D33)</f>
        <v>0.65</v>
      </c>
      <c r="I33" s="192" t="s">
        <v>848</v>
      </c>
      <c r="J33" s="194">
        <v>4910</v>
      </c>
      <c r="K33" s="211">
        <f t="shared" si="4"/>
        <v>0.52030624950327176</v>
      </c>
      <c r="L33" s="202" t="s">
        <v>848</v>
      </c>
      <c r="M33" s="207">
        <f>O33-J33</f>
        <v>1761</v>
      </c>
      <c r="N33" s="198">
        <f t="shared" si="6"/>
        <v>0.18661085649190665</v>
      </c>
      <c r="O33" s="199">
        <v>6671</v>
      </c>
      <c r="P33" s="200">
        <f>N33+K33</f>
        <v>0.70691710599517843</v>
      </c>
      <c r="Q33" s="201"/>
      <c r="R33" s="202">
        <v>3.8</v>
      </c>
      <c r="S33" s="214" t="s">
        <v>206</v>
      </c>
      <c r="T33" s="209" t="s">
        <v>206</v>
      </c>
      <c r="U33" s="204">
        <f t="shared" si="5"/>
        <v>3.99420432800569</v>
      </c>
      <c r="V33" s="187">
        <v>24.5</v>
      </c>
      <c r="W33" s="187">
        <f>Tabla34[[#This Row],[CANT KG A.TARTARICO]]*$W$2</f>
        <v>5757.5</v>
      </c>
      <c r="X33" s="205">
        <v>4.8</v>
      </c>
      <c r="Y33" s="214" t="s">
        <v>206</v>
      </c>
      <c r="Z33" s="209"/>
      <c r="AA33" s="187"/>
      <c r="AB33" s="187"/>
      <c r="AC33" s="187"/>
      <c r="AD33" s="187"/>
    </row>
    <row r="34" spans="1:31" ht="14.5" x14ac:dyDescent="0.35">
      <c r="A34" s="186">
        <v>45927</v>
      </c>
      <c r="B34" s="187">
        <v>25</v>
      </c>
      <c r="C34" s="188" t="s">
        <v>347</v>
      </c>
      <c r="D34" s="189">
        <v>9436.75</v>
      </c>
      <c r="E34" s="190" t="s">
        <v>627</v>
      </c>
      <c r="F34" s="190" t="s">
        <v>575</v>
      </c>
      <c r="G34" s="191">
        <f>D34*0.65</f>
        <v>6133.8874999999998</v>
      </c>
      <c r="H34" s="192">
        <f t="shared" si="7"/>
        <v>0.65</v>
      </c>
      <c r="I34" s="192" t="s">
        <v>848</v>
      </c>
      <c r="J34" s="194">
        <f>11716-6671</f>
        <v>5045</v>
      </c>
      <c r="K34" s="211">
        <f t="shared" si="4"/>
        <v>0.5346120221474554</v>
      </c>
      <c r="L34" s="202" t="s">
        <v>848</v>
      </c>
      <c r="M34" s="207">
        <f>13477-11716</f>
        <v>1761</v>
      </c>
      <c r="N34" s="198">
        <f t="shared" si="6"/>
        <v>0.18661085649190665</v>
      </c>
      <c r="O34" s="199">
        <f>13477-O33</f>
        <v>6806</v>
      </c>
      <c r="P34" s="200">
        <f>N34+K34</f>
        <v>0.72122287863936207</v>
      </c>
      <c r="Q34" s="201"/>
      <c r="R34" s="202">
        <v>3.83</v>
      </c>
      <c r="S34" s="214" t="s">
        <v>206</v>
      </c>
      <c r="T34" s="209" t="s">
        <v>206</v>
      </c>
      <c r="U34" s="204">
        <f t="shared" si="5"/>
        <v>3.99420432800569</v>
      </c>
      <c r="V34" s="187">
        <v>24.5</v>
      </c>
      <c r="W34" s="187">
        <f>Tabla34[[#This Row],[CANT KG A.TARTARICO]]*$W$2</f>
        <v>5757.5</v>
      </c>
      <c r="X34" s="205">
        <v>4.6500000000000004</v>
      </c>
      <c r="Y34" s="214" t="s">
        <v>206</v>
      </c>
      <c r="Z34" s="209"/>
      <c r="AA34" s="187"/>
      <c r="AB34" s="187"/>
      <c r="AC34" s="187"/>
      <c r="AD34" s="187"/>
    </row>
    <row r="35" spans="1:31" ht="14.5" x14ac:dyDescent="0.35">
      <c r="A35" s="186">
        <v>45929</v>
      </c>
      <c r="B35" s="187">
        <v>7</v>
      </c>
      <c r="C35" s="187" t="s">
        <v>849</v>
      </c>
      <c r="D35" s="189">
        <v>2908</v>
      </c>
      <c r="E35" s="190" t="s">
        <v>634</v>
      </c>
      <c r="F35" s="190" t="s">
        <v>508</v>
      </c>
      <c r="G35" s="191">
        <v>1890</v>
      </c>
      <c r="H35" s="192">
        <f t="shared" si="7"/>
        <v>0.64993122420907845</v>
      </c>
      <c r="I35" s="192" t="s">
        <v>582</v>
      </c>
      <c r="J35" s="194">
        <v>1301</v>
      </c>
      <c r="K35" s="211">
        <f t="shared" si="4"/>
        <v>0.44738651994497936</v>
      </c>
      <c r="L35" s="196" t="s">
        <v>582</v>
      </c>
      <c r="M35" s="207">
        <f>O35-J35</f>
        <v>767</v>
      </c>
      <c r="N35" s="198">
        <f t="shared" si="6"/>
        <v>0.26375515818431911</v>
      </c>
      <c r="O35" s="199">
        <v>2068</v>
      </c>
      <c r="P35" s="200">
        <f>O35/D35</f>
        <v>0.71114167812929852</v>
      </c>
      <c r="Q35" s="201">
        <f>J35/225</f>
        <v>5.7822222222222219</v>
      </c>
      <c r="R35" s="202">
        <v>3.58</v>
      </c>
      <c r="S35" s="203">
        <v>3.18</v>
      </c>
      <c r="T35" s="209"/>
      <c r="U35" s="204">
        <f t="shared" si="5"/>
        <v>1</v>
      </c>
      <c r="V35" s="187">
        <f>1.89</f>
        <v>1.89</v>
      </c>
      <c r="W35" s="187">
        <f>Tabla34[[#This Row],[CANT KG A.TARTARICO]]*$W$2</f>
        <v>444.15</v>
      </c>
      <c r="X35" s="205">
        <v>4.5</v>
      </c>
      <c r="Y35" s="203">
        <v>6.75</v>
      </c>
      <c r="Z35" s="209"/>
      <c r="AA35" s="187"/>
      <c r="AB35" s="187"/>
      <c r="AC35" s="187"/>
      <c r="AD35" s="187"/>
    </row>
    <row r="36" spans="1:31" ht="14.5" x14ac:dyDescent="0.35">
      <c r="A36" s="186">
        <v>45930</v>
      </c>
      <c r="B36" s="187">
        <v>36</v>
      </c>
      <c r="C36" s="188" t="s">
        <v>351</v>
      </c>
      <c r="D36" s="189">
        <v>13574.2</v>
      </c>
      <c r="E36" s="190" t="s">
        <v>642</v>
      </c>
      <c r="F36" s="190" t="s">
        <v>586</v>
      </c>
      <c r="G36" s="191">
        <v>8823</v>
      </c>
      <c r="H36" s="192">
        <f t="shared" si="7"/>
        <v>0.64998305609170337</v>
      </c>
      <c r="I36" s="192" t="s">
        <v>850</v>
      </c>
      <c r="J36" s="194">
        <v>7473</v>
      </c>
      <c r="K36" s="211">
        <f t="shared" si="4"/>
        <v>0.55052968130718571</v>
      </c>
      <c r="L36" s="196" t="s">
        <v>850</v>
      </c>
      <c r="M36" s="207">
        <v>2332</v>
      </c>
      <c r="N36" s="198">
        <f t="shared" si="6"/>
        <v>0.17179649629444091</v>
      </c>
      <c r="O36" s="199">
        <f>J36+M36</f>
        <v>9805</v>
      </c>
      <c r="P36" s="200">
        <f>N36+K36</f>
        <v>0.72232617760162665</v>
      </c>
      <c r="Q36" s="201"/>
      <c r="R36" s="202">
        <v>3.23</v>
      </c>
      <c r="S36" s="214" t="s">
        <v>206</v>
      </c>
      <c r="T36" s="209" t="s">
        <v>206</v>
      </c>
      <c r="U36" s="204">
        <f t="shared" si="5"/>
        <v>2.9921795307718462</v>
      </c>
      <c r="V36" s="187">
        <v>26.4</v>
      </c>
      <c r="W36" s="187">
        <f>Tabla34[[#This Row],[CANT KG A.TARTARICO]]*$W$2</f>
        <v>6204</v>
      </c>
      <c r="X36" s="205">
        <v>9.15</v>
      </c>
      <c r="Y36" s="214"/>
      <c r="Z36" s="209"/>
      <c r="AA36" s="187"/>
      <c r="AB36" s="187"/>
      <c r="AC36" s="187"/>
      <c r="AD36" s="187"/>
    </row>
    <row r="37" spans="1:31" ht="14.5" x14ac:dyDescent="0.35">
      <c r="A37" s="186">
        <v>45930</v>
      </c>
      <c r="B37" s="187">
        <v>24</v>
      </c>
      <c r="C37" s="188" t="s">
        <v>351</v>
      </c>
      <c r="D37" s="189">
        <v>9049.98</v>
      </c>
      <c r="E37" s="190" t="s">
        <v>644</v>
      </c>
      <c r="F37" s="190" t="s">
        <v>565</v>
      </c>
      <c r="G37" s="191">
        <v>5883</v>
      </c>
      <c r="H37" s="192">
        <f t="shared" si="7"/>
        <v>0.65005668520814419</v>
      </c>
      <c r="I37" s="192" t="s">
        <v>850</v>
      </c>
      <c r="J37" s="194">
        <v>5148</v>
      </c>
      <c r="K37" s="211">
        <f t="shared" si="4"/>
        <v>0.56884103611278702</v>
      </c>
      <c r="L37" s="196" t="s">
        <v>850</v>
      </c>
      <c r="M37" s="207">
        <v>1475</v>
      </c>
      <c r="N37" s="198">
        <f t="shared" si="6"/>
        <v>0.1629837855995262</v>
      </c>
      <c r="O37" s="199">
        <v>6623</v>
      </c>
      <c r="P37" s="200">
        <f>N37+K37</f>
        <v>0.73182482171231322</v>
      </c>
      <c r="Q37" s="201"/>
      <c r="R37" s="202">
        <v>3.66</v>
      </c>
      <c r="S37" s="203">
        <v>3.3</v>
      </c>
      <c r="T37" s="209" t="s">
        <v>206</v>
      </c>
      <c r="U37" s="204">
        <f t="shared" si="5"/>
        <v>2.9916709161992179</v>
      </c>
      <c r="V37" s="187">
        <f>8.8+8.8</f>
        <v>17.600000000000001</v>
      </c>
      <c r="W37" s="187">
        <f>Tabla34[[#This Row],[CANT KG A.TARTARICO]]*$W$2</f>
        <v>4136</v>
      </c>
      <c r="X37" s="205">
        <v>5.85</v>
      </c>
      <c r="Y37" s="203">
        <v>7.65</v>
      </c>
      <c r="Z37" s="209"/>
      <c r="AA37" s="187"/>
      <c r="AB37" s="187"/>
      <c r="AC37" s="187"/>
      <c r="AD37" s="187"/>
    </row>
    <row r="38" spans="1:31" ht="14.5" x14ac:dyDescent="0.35">
      <c r="A38" s="186">
        <v>45937</v>
      </c>
      <c r="B38" s="187">
        <v>22</v>
      </c>
      <c r="C38" s="187" t="s">
        <v>364</v>
      </c>
      <c r="D38" s="189">
        <v>10597.4</v>
      </c>
      <c r="E38" s="190" t="s">
        <v>655</v>
      </c>
      <c r="F38" s="190" t="s">
        <v>452</v>
      </c>
      <c r="G38" s="191">
        <v>6888</v>
      </c>
      <c r="H38" s="192">
        <f t="shared" si="7"/>
        <v>0.64997074754184991</v>
      </c>
      <c r="I38" s="192" t="s">
        <v>517</v>
      </c>
      <c r="J38" s="194">
        <v>5538</v>
      </c>
      <c r="K38" s="211">
        <f t="shared" si="4"/>
        <v>0.52258101043652216</v>
      </c>
      <c r="L38" s="202" t="s">
        <v>517</v>
      </c>
      <c r="M38" s="207">
        <f>O38-J38</f>
        <v>1368</v>
      </c>
      <c r="N38" s="198">
        <f t="shared" si="6"/>
        <v>0.12908826693339875</v>
      </c>
      <c r="O38" s="199">
        <v>6906</v>
      </c>
      <c r="P38" s="200">
        <f>N38+K38</f>
        <v>0.65166927736992086</v>
      </c>
      <c r="Q38" s="201"/>
      <c r="R38" s="202">
        <v>3.45</v>
      </c>
      <c r="S38" s="214" t="s">
        <v>206</v>
      </c>
      <c r="T38" s="209" t="s">
        <v>206</v>
      </c>
      <c r="U38" s="204">
        <f t="shared" si="5"/>
        <v>2.1777003484320558</v>
      </c>
      <c r="V38" s="187">
        <v>15</v>
      </c>
      <c r="W38" s="187">
        <f>Tabla34[[#This Row],[CANT KG A.TARTARICO]]*$W$2</f>
        <v>3525</v>
      </c>
      <c r="X38" s="205">
        <v>7.35</v>
      </c>
      <c r="Y38" s="214" t="s">
        <v>206</v>
      </c>
      <c r="Z38" s="209" t="s">
        <v>206</v>
      </c>
      <c r="AA38" s="187"/>
      <c r="AB38" s="187"/>
      <c r="AC38" s="187"/>
      <c r="AD38" s="187"/>
    </row>
    <row r="39" spans="1:31" ht="14.5" x14ac:dyDescent="0.35">
      <c r="A39" s="186">
        <v>45937</v>
      </c>
      <c r="B39" s="187">
        <v>24</v>
      </c>
      <c r="C39" s="187" t="s">
        <v>364</v>
      </c>
      <c r="D39" s="189">
        <v>11561.1</v>
      </c>
      <c r="E39" s="190" t="s">
        <v>657</v>
      </c>
      <c r="F39" s="190" t="s">
        <v>658</v>
      </c>
      <c r="G39" s="191">
        <v>7515</v>
      </c>
      <c r="H39" s="192">
        <f t="shared" si="7"/>
        <v>0.6500246516334951</v>
      </c>
      <c r="I39" s="192" t="s">
        <v>835</v>
      </c>
      <c r="J39" s="194">
        <v>7575</v>
      </c>
      <c r="K39" s="211">
        <f t="shared" si="4"/>
        <v>0.65521446921140725</v>
      </c>
      <c r="L39" s="202" t="s">
        <v>835</v>
      </c>
      <c r="M39" s="207">
        <f>Tabla34[[#This Row],[VOL TOTAL]]-Tabla34[[#This Row],[VOL DESVINE]]</f>
        <v>1619</v>
      </c>
      <c r="N39" s="198">
        <f>Tabla34[[#This Row],[VOL (L)]]/Tabla34[[#This Row],[KG]]</f>
        <v>0.1400385776439958</v>
      </c>
      <c r="O39" s="199">
        <v>9194</v>
      </c>
      <c r="P39" s="200">
        <f>Tabla34[[#This Row],[REND PR]]+Tabla34[[#This Row],[REN FR]]</f>
        <v>0.7952530468554031</v>
      </c>
      <c r="Q39" s="201"/>
      <c r="R39" s="202">
        <v>3.66</v>
      </c>
      <c r="S39" s="203">
        <v>3.25</v>
      </c>
      <c r="T39" s="209"/>
      <c r="U39" s="204">
        <f t="shared" si="5"/>
        <v>2.2621423819028608</v>
      </c>
      <c r="V39" s="187">
        <v>17</v>
      </c>
      <c r="W39" s="187">
        <f>Tabla34[[#This Row],[CANT KG A.TARTARICO]]*$W$2</f>
        <v>3995</v>
      </c>
      <c r="X39" s="205">
        <v>6</v>
      </c>
      <c r="Y39" s="203">
        <v>6.3</v>
      </c>
      <c r="Z39" s="209"/>
      <c r="AA39" s="187"/>
      <c r="AB39" s="187"/>
      <c r="AC39" s="187"/>
      <c r="AD39" s="187"/>
    </row>
    <row r="40" spans="1:31" ht="14.5" x14ac:dyDescent="0.35">
      <c r="A40" s="238">
        <v>45938</v>
      </c>
      <c r="B40" s="239">
        <v>39</v>
      </c>
      <c r="C40" s="239" t="s">
        <v>367</v>
      </c>
      <c r="D40" s="240">
        <f>9226+7625.5</f>
        <v>16851.5</v>
      </c>
      <c r="E40" s="218" t="s">
        <v>660</v>
      </c>
      <c r="F40" s="218" t="s">
        <v>601</v>
      </c>
      <c r="G40" s="241">
        <v>10954</v>
      </c>
      <c r="H40" s="193">
        <f t="shared" si="7"/>
        <v>0.6500311544966324</v>
      </c>
      <c r="I40" s="193" t="s">
        <v>495</v>
      </c>
      <c r="J40" s="242">
        <v>10601</v>
      </c>
      <c r="K40" s="211">
        <f t="shared" si="4"/>
        <v>0.62908346438002549</v>
      </c>
      <c r="L40" s="234"/>
      <c r="M40" s="234" t="s">
        <v>851</v>
      </c>
      <c r="N40" s="243"/>
      <c r="O40" s="244"/>
      <c r="P40" s="245"/>
      <c r="Q40" s="246"/>
      <c r="R40" s="247">
        <v>3.62</v>
      </c>
      <c r="S40" s="248">
        <v>3.49</v>
      </c>
      <c r="T40" s="249" t="s">
        <v>206</v>
      </c>
      <c r="U40" s="250">
        <f t="shared" si="5"/>
        <v>3.3777615482928609</v>
      </c>
      <c r="V40" s="239">
        <f>25+12</f>
        <v>37</v>
      </c>
      <c r="W40" s="239">
        <f>Tabla34[[#This Row],[CANT KG A.TARTARICO]]*$W$2</f>
        <v>8695</v>
      </c>
      <c r="X40" s="251">
        <v>7.8</v>
      </c>
      <c r="Y40" s="248">
        <v>8.25</v>
      </c>
      <c r="Z40" s="249" t="s">
        <v>206</v>
      </c>
      <c r="AA40" s="239"/>
      <c r="AB40" s="239"/>
      <c r="AC40" s="239"/>
      <c r="AD40" s="239"/>
    </row>
    <row r="41" spans="1:31" s="187" customFormat="1" ht="14.5" x14ac:dyDescent="0.35">
      <c r="A41" s="186">
        <v>45940</v>
      </c>
      <c r="B41" s="187">
        <v>40</v>
      </c>
      <c r="C41" s="187" t="s">
        <v>369</v>
      </c>
      <c r="D41" s="189">
        <v>15428</v>
      </c>
      <c r="E41" s="190" t="s">
        <v>663</v>
      </c>
      <c r="F41" s="190" t="s">
        <v>664</v>
      </c>
      <c r="G41" s="191">
        <v>10028</v>
      </c>
      <c r="H41" s="192">
        <f t="shared" si="7"/>
        <v>0.64998703655690948</v>
      </c>
      <c r="I41" s="192" t="s">
        <v>452</v>
      </c>
      <c r="J41" s="194">
        <v>9917</v>
      </c>
      <c r="K41" s="211">
        <f>Tabla34[[#This Row],[VOL DESVINE]]/D42</f>
        <v>0.68856101371289702</v>
      </c>
      <c r="L41" s="202"/>
      <c r="M41" s="207"/>
      <c r="N41" s="198"/>
      <c r="O41" s="199"/>
      <c r="P41" s="200"/>
      <c r="Q41" s="201"/>
      <c r="R41" s="202">
        <v>3.85</v>
      </c>
      <c r="S41" s="203">
        <v>3.66</v>
      </c>
      <c r="T41" s="209"/>
      <c r="U41" s="204">
        <f t="shared" si="5"/>
        <v>3.9988033506182687</v>
      </c>
      <c r="V41" s="187">
        <f>15.4+24.7</f>
        <v>40.1</v>
      </c>
      <c r="W41" s="187">
        <f>Tabla34[[#This Row],[CANT KG A.TARTARICO]]*$W$2</f>
        <v>9423.5</v>
      </c>
      <c r="X41" s="205">
        <v>6.45</v>
      </c>
      <c r="Y41" s="203">
        <v>8.5500000000000007</v>
      </c>
      <c r="Z41" s="209"/>
    </row>
    <row r="42" spans="1:31" s="187" customFormat="1" ht="14.5" x14ac:dyDescent="0.35">
      <c r="A42" s="186">
        <v>45940</v>
      </c>
      <c r="B42" s="187">
        <v>33</v>
      </c>
      <c r="C42" s="187" t="s">
        <v>852</v>
      </c>
      <c r="D42" s="189">
        <v>14402.5</v>
      </c>
      <c r="E42" s="190" t="s">
        <v>666</v>
      </c>
      <c r="F42" s="190" t="s">
        <v>575</v>
      </c>
      <c r="G42" s="191">
        <v>9362</v>
      </c>
      <c r="H42" s="192">
        <f t="shared" si="7"/>
        <v>0.65002603714632878</v>
      </c>
      <c r="I42" s="192" t="s">
        <v>838</v>
      </c>
      <c r="J42" s="194">
        <v>7500</v>
      </c>
      <c r="K42" s="211">
        <f>Tabla34[[#This Row],[VOL DESVINE]]/Tabla34[[#This Row],[KG]]</f>
        <v>0.52074292657524734</v>
      </c>
      <c r="L42" s="252"/>
      <c r="M42" s="253" t="s">
        <v>853</v>
      </c>
      <c r="N42" s="198"/>
      <c r="O42" s="199"/>
      <c r="P42" s="200"/>
      <c r="Q42" s="201"/>
      <c r="R42" s="202">
        <v>3.18</v>
      </c>
      <c r="S42" s="203">
        <v>3.31</v>
      </c>
      <c r="T42" s="209"/>
      <c r="U42" s="204">
        <f t="shared" si="5"/>
        <v>2.7771843623157446</v>
      </c>
      <c r="V42" s="187">
        <v>26</v>
      </c>
      <c r="W42" s="187">
        <f>Tabla34[[#This Row],[CANT KG A.TARTARICO]]*$W$2</f>
        <v>6110</v>
      </c>
      <c r="X42" s="205">
        <v>8.1</v>
      </c>
      <c r="Y42" s="203">
        <v>6.75</v>
      </c>
      <c r="Z42" s="209"/>
    </row>
    <row r="43" spans="1:31" s="187" customFormat="1" ht="14.5" x14ac:dyDescent="0.35">
      <c r="A43" s="186">
        <v>45940</v>
      </c>
      <c r="B43" s="187">
        <v>12</v>
      </c>
      <c r="C43" s="187" t="s">
        <v>260</v>
      </c>
      <c r="D43" s="189">
        <v>6289.5</v>
      </c>
      <c r="E43" s="190" t="s">
        <v>668</v>
      </c>
      <c r="F43" s="190" t="s">
        <v>508</v>
      </c>
      <c r="G43" s="191">
        <f>D43*0.65</f>
        <v>4088.1750000000002</v>
      </c>
      <c r="H43" s="192">
        <f>G43/D43</f>
        <v>0.65</v>
      </c>
      <c r="I43" s="192" t="s">
        <v>525</v>
      </c>
      <c r="J43" s="194">
        <v>4512</v>
      </c>
      <c r="K43" s="211">
        <f>J43/D43</f>
        <v>0.71738611972334843</v>
      </c>
      <c r="L43" s="202" t="s">
        <v>525</v>
      </c>
      <c r="M43" s="207">
        <f>O43-J43</f>
        <v>1056</v>
      </c>
      <c r="N43" s="198">
        <f>M43/D43</f>
        <v>0.16789887908418794</v>
      </c>
      <c r="O43" s="254">
        <v>5568</v>
      </c>
      <c r="P43" s="200">
        <f>N43+K43</f>
        <v>0.88528499880753642</v>
      </c>
      <c r="Q43" s="201"/>
      <c r="R43" s="202">
        <v>3.46</v>
      </c>
      <c r="S43" s="255" t="s">
        <v>206</v>
      </c>
      <c r="T43" s="256" t="s">
        <v>206</v>
      </c>
      <c r="U43" s="204">
        <f t="shared" si="5"/>
        <v>4.5497073877708267</v>
      </c>
      <c r="V43" s="187">
        <v>18.600000000000001</v>
      </c>
      <c r="W43" s="187">
        <f>Tabla34[[#This Row],[CANT KG A.TARTARICO]]*$W$2</f>
        <v>4371</v>
      </c>
      <c r="X43" s="205">
        <v>6.9</v>
      </c>
      <c r="Y43" s="255" t="s">
        <v>206</v>
      </c>
      <c r="Z43" s="256" t="s">
        <v>206</v>
      </c>
      <c r="AC43" s="237"/>
      <c r="AD43" s="237"/>
    </row>
    <row r="44" spans="1:31" s="187" customFormat="1" ht="14.5" x14ac:dyDescent="0.35">
      <c r="A44" s="186">
        <v>45941</v>
      </c>
      <c r="B44" s="187">
        <v>37</v>
      </c>
      <c r="C44" s="187" t="s">
        <v>373</v>
      </c>
      <c r="D44" s="189">
        <v>15682.5</v>
      </c>
      <c r="E44" s="218" t="s">
        <v>670</v>
      </c>
      <c r="F44" s="218" t="s">
        <v>671</v>
      </c>
      <c r="G44" s="241">
        <v>11373</v>
      </c>
      <c r="H44" s="193">
        <f>G44/(D44+D45)</f>
        <v>0.65001571742920017</v>
      </c>
      <c r="I44" s="192" t="s">
        <v>854</v>
      </c>
      <c r="J44" s="194">
        <v>13049</v>
      </c>
      <c r="K44" s="211">
        <f>Tabla34[[#This Row],[VOL DESVINE]]/(Tabla34[[#This Row],[KG]]+D45)</f>
        <v>0.74580630411796645</v>
      </c>
      <c r="L44" s="202" t="s">
        <v>854</v>
      </c>
      <c r="M44" s="207">
        <f>Tabla34[[#This Row],[VOL TOTAL]]-Tabla34[[#This Row],[VOL DESVINE]]</f>
        <v>1475</v>
      </c>
      <c r="N44" s="198">
        <f>Tabla34[[#This Row],[VOL (L)]]/(Tabla34[[#This Row],[KG]]+D45)</f>
        <v>8.4302574800674421E-2</v>
      </c>
      <c r="O44" s="199">
        <v>14524</v>
      </c>
      <c r="P44" s="200">
        <f>Tabla34[[#This Row],[VOL TOTAL]]/(Tabla34[[#This Row],[KG]]+D45)</f>
        <v>0.83010887891864082</v>
      </c>
      <c r="Q44" s="201"/>
      <c r="R44" s="202">
        <v>3.49</v>
      </c>
      <c r="S44" s="203">
        <v>3.53</v>
      </c>
      <c r="T44" s="209"/>
      <c r="U44" s="204">
        <f t="shared" si="5"/>
        <v>3.4889650927635629</v>
      </c>
      <c r="V44" s="187">
        <f>34+5.68</f>
        <v>39.68</v>
      </c>
      <c r="W44" s="187">
        <f>Tabla34[[#This Row],[CANT KG A.TARTARICO]]*$W$2</f>
        <v>9324.7999999999993</v>
      </c>
      <c r="X44" s="205">
        <v>5.85</v>
      </c>
      <c r="Y44" s="203">
        <v>6.15</v>
      </c>
      <c r="Z44" s="209"/>
    </row>
    <row r="45" spans="1:31" s="187" customFormat="1" ht="14.5" x14ac:dyDescent="0.35">
      <c r="A45" s="186">
        <v>45941</v>
      </c>
      <c r="B45" s="187">
        <v>5</v>
      </c>
      <c r="C45" s="187" t="s">
        <v>351</v>
      </c>
      <c r="D45" s="189">
        <v>1814</v>
      </c>
      <c r="E45" s="219"/>
      <c r="F45" s="219"/>
      <c r="G45" s="257"/>
      <c r="H45" s="206"/>
      <c r="I45" s="192"/>
      <c r="J45" s="194"/>
      <c r="K45" s="211"/>
      <c r="L45" s="202"/>
      <c r="M45" s="207"/>
      <c r="N45" s="198"/>
      <c r="O45" s="199"/>
      <c r="P45" s="200"/>
      <c r="Q45" s="201"/>
      <c r="R45" s="202"/>
      <c r="S45" s="214"/>
      <c r="T45" s="209"/>
      <c r="U45" s="215"/>
      <c r="V45" s="209"/>
      <c r="W45" s="209">
        <f>Tabla34[[#This Row],[CANT KG A.TARTARICO]]*$W$2</f>
        <v>0</v>
      </c>
      <c r="X45" s="216"/>
      <c r="Y45" s="214"/>
      <c r="Z45" s="209"/>
    </row>
    <row r="46" spans="1:31" s="187" customFormat="1" ht="14.5" x14ac:dyDescent="0.35">
      <c r="A46" s="186">
        <v>45941</v>
      </c>
      <c r="B46" s="187">
        <v>2</v>
      </c>
      <c r="C46" s="187" t="s">
        <v>351</v>
      </c>
      <c r="D46" s="189">
        <v>1088.5</v>
      </c>
      <c r="E46" s="210" t="s">
        <v>674</v>
      </c>
      <c r="F46" s="218" t="s">
        <v>572</v>
      </c>
      <c r="G46" s="241">
        <f>(D46+D47)*0.65</f>
        <v>8633.9500000000007</v>
      </c>
      <c r="H46" s="193">
        <f>G46/(D46+D47)</f>
        <v>0.65</v>
      </c>
      <c r="I46" s="192" t="s">
        <v>575</v>
      </c>
      <c r="J46" s="194">
        <v>7377</v>
      </c>
      <c r="K46" s="211">
        <f>Tabla34[[#This Row],[VOL DESVINE]]/(Tabla34[[#This Row],[KG]]+D47)</f>
        <v>0.55537152751637431</v>
      </c>
      <c r="L46" s="196" t="s">
        <v>575</v>
      </c>
      <c r="M46" s="207">
        <f>Tabla34[[#This Row],[VOL TOTAL]]-Tabla34[[#This Row],[VOL DESVINE]]</f>
        <v>2697</v>
      </c>
      <c r="N46" s="198">
        <f>Tabla34[[#This Row],[VOL (L)]]/(Tabla34[[#This Row],[KG]]+D47)</f>
        <v>0.20304148159301363</v>
      </c>
      <c r="O46" s="199">
        <v>10074</v>
      </c>
      <c r="P46" s="200">
        <f>Tabla34[[#This Row],[REND PR]]+Tabla34[[#This Row],[REN FR]]</f>
        <v>0.75841300910938791</v>
      </c>
      <c r="Q46" s="201"/>
      <c r="R46" s="202">
        <v>3.46</v>
      </c>
      <c r="S46" s="214"/>
      <c r="T46" s="209"/>
      <c r="U46" s="204">
        <f>(V46*1000)/G46</f>
        <v>1.5983414312105118</v>
      </c>
      <c r="V46" s="187">
        <v>13.8</v>
      </c>
      <c r="W46" s="187">
        <f>Tabla34[[#This Row],[CANT KG A.TARTARICO]]*$W$2</f>
        <v>3243</v>
      </c>
      <c r="X46" s="205">
        <v>6.45</v>
      </c>
      <c r="Y46" s="214"/>
      <c r="Z46" s="209"/>
      <c r="AC46" s="187">
        <v>100</v>
      </c>
    </row>
    <row r="47" spans="1:31" s="187" customFormat="1" ht="14.5" x14ac:dyDescent="0.35">
      <c r="A47" s="186">
        <v>45941</v>
      </c>
      <c r="B47" s="187">
        <v>24</v>
      </c>
      <c r="C47" s="187" t="s">
        <v>855</v>
      </c>
      <c r="D47" s="189">
        <v>12194.5</v>
      </c>
      <c r="E47" s="212"/>
      <c r="F47" s="219"/>
      <c r="G47" s="257"/>
      <c r="H47" s="206"/>
      <c r="I47" s="192"/>
      <c r="J47" s="194"/>
      <c r="K47" s="211"/>
      <c r="L47" s="202"/>
      <c r="M47" s="207"/>
      <c r="N47" s="198"/>
      <c r="O47" s="199"/>
      <c r="P47" s="200"/>
      <c r="Q47" s="201"/>
      <c r="R47" s="202"/>
      <c r="S47" s="214"/>
      <c r="T47" s="209"/>
      <c r="U47" s="215"/>
      <c r="V47" s="209"/>
      <c r="W47" s="209">
        <f>Tabla34[[#This Row],[CANT KG A.TARTARICO]]*$W$2</f>
        <v>0</v>
      </c>
      <c r="X47" s="216"/>
      <c r="Y47" s="214"/>
      <c r="Z47" s="209"/>
    </row>
    <row r="48" spans="1:31" ht="14.5" x14ac:dyDescent="0.35">
      <c r="A48" s="186">
        <v>45941</v>
      </c>
      <c r="B48" s="187">
        <v>27</v>
      </c>
      <c r="C48" s="187" t="s">
        <v>856</v>
      </c>
      <c r="D48" s="189">
        <v>13883.5</v>
      </c>
      <c r="E48" s="190" t="s">
        <v>677</v>
      </c>
      <c r="F48" s="190" t="s">
        <v>543</v>
      </c>
      <c r="G48" s="191">
        <f>D48*0.65</f>
        <v>9024.2749999999996</v>
      </c>
      <c r="H48" s="192">
        <f>G48/D48</f>
        <v>0.65</v>
      </c>
      <c r="I48" s="192" t="s">
        <v>572</v>
      </c>
      <c r="J48" s="194">
        <v>8076</v>
      </c>
      <c r="K48" s="211">
        <f>Tabla34[[#This Row],[VOL DESVINE]]/Tabla34[[#This Row],[KG]]</f>
        <v>0.58169769870709831</v>
      </c>
      <c r="L48" s="202" t="s">
        <v>572</v>
      </c>
      <c r="M48" s="207">
        <f t="shared" ref="M48:M52" si="8">O48-J48</f>
        <v>1870</v>
      </c>
      <c r="N48" s="198">
        <f t="shared" ref="N48:N53" si="9">M48/D48</f>
        <v>0.13469226059711167</v>
      </c>
      <c r="O48" s="199">
        <v>9946</v>
      </c>
      <c r="P48" s="200">
        <f>Tabla34[[#This Row],[VOL TOTAL]]/Tabla34[[#This Row],[KG]]</f>
        <v>0.71638995930421001</v>
      </c>
      <c r="Q48" s="201"/>
      <c r="R48" s="202">
        <v>3.46</v>
      </c>
      <c r="S48" s="214"/>
      <c r="T48" s="209"/>
      <c r="U48" s="204">
        <f t="shared" ref="U48:U55" si="10">(V48*1000)/G48</f>
        <v>1.9946200664319296</v>
      </c>
      <c r="V48" s="187">
        <v>18</v>
      </c>
      <c r="W48" s="187">
        <f>Tabla34[[#This Row],[CANT KG A.TARTARICO]]*$W$2</f>
        <v>4230</v>
      </c>
      <c r="X48" s="258">
        <v>6.6</v>
      </c>
      <c r="Y48" s="214"/>
      <c r="Z48" s="209"/>
      <c r="AA48" s="187"/>
      <c r="AB48" s="187"/>
      <c r="AC48" s="187">
        <v>110</v>
      </c>
      <c r="AD48" s="187"/>
      <c r="AE48" s="187"/>
    </row>
    <row r="49" spans="1:31" ht="14.5" x14ac:dyDescent="0.35">
      <c r="A49" s="186">
        <v>45941</v>
      </c>
      <c r="B49" s="187">
        <v>1</v>
      </c>
      <c r="C49" s="187" t="s">
        <v>857</v>
      </c>
      <c r="D49" s="189">
        <v>220</v>
      </c>
      <c r="E49" s="190" t="s">
        <v>680</v>
      </c>
      <c r="F49" s="190" t="s">
        <v>528</v>
      </c>
      <c r="G49" s="191">
        <f>D49*0.65</f>
        <v>143</v>
      </c>
      <c r="H49" s="192">
        <f>G49/D49</f>
        <v>0.65</v>
      </c>
      <c r="I49" s="192" t="s">
        <v>501</v>
      </c>
      <c r="J49" s="194">
        <v>110</v>
      </c>
      <c r="K49" s="211">
        <f>Tabla34[[#This Row],[VOL DESVINE]]/Tabla34[[#This Row],[KG]]</f>
        <v>0.5</v>
      </c>
      <c r="L49" s="202" t="s">
        <v>501</v>
      </c>
      <c r="M49" s="207">
        <f t="shared" si="8"/>
        <v>50</v>
      </c>
      <c r="N49" s="198">
        <f t="shared" si="9"/>
        <v>0.22727272727272727</v>
      </c>
      <c r="O49" s="199">
        <v>160</v>
      </c>
      <c r="P49" s="200">
        <f>Tabla34[[#This Row],[VOL TOTAL]]/Tabla34[[#This Row],[KG]]</f>
        <v>0.72727272727272729</v>
      </c>
      <c r="Q49" s="201"/>
      <c r="R49" s="202">
        <v>3.84</v>
      </c>
      <c r="S49" s="203">
        <v>3.77</v>
      </c>
      <c r="T49" s="209"/>
      <c r="U49" s="259">
        <f t="shared" si="10"/>
        <v>1.5034965034965035</v>
      </c>
      <c r="V49" s="187">
        <v>0.215</v>
      </c>
      <c r="W49" s="187">
        <f>Tabla34[[#This Row],[CANT KG A.TARTARICO]]*$W$2</f>
        <v>50.524999999999999</v>
      </c>
      <c r="X49" s="258">
        <v>4.2</v>
      </c>
      <c r="Y49" s="203">
        <v>4.95</v>
      </c>
      <c r="Z49" s="209"/>
      <c r="AA49" s="187"/>
      <c r="AB49" s="187"/>
      <c r="AC49" s="187">
        <v>2.8</v>
      </c>
      <c r="AD49" s="187"/>
      <c r="AE49" s="187"/>
    </row>
    <row r="50" spans="1:31" ht="14.5" x14ac:dyDescent="0.35">
      <c r="A50" s="260">
        <v>45942</v>
      </c>
      <c r="B50" s="239">
        <v>17</v>
      </c>
      <c r="C50" s="239" t="s">
        <v>858</v>
      </c>
      <c r="D50" s="240">
        <v>8535</v>
      </c>
      <c r="E50" s="218" t="s">
        <v>682</v>
      </c>
      <c r="F50" s="218" t="s">
        <v>683</v>
      </c>
      <c r="G50" s="241">
        <v>5548</v>
      </c>
      <c r="H50" s="193">
        <f t="shared" ref="H50:H52" si="11">G50/D50</f>
        <v>0.65002929115407149</v>
      </c>
      <c r="I50" s="193" t="s">
        <v>859</v>
      </c>
      <c r="J50" s="242">
        <v>4830</v>
      </c>
      <c r="K50" s="211">
        <f>Tabla34[[#This Row],[VOL DESVINE]]/Tabla34[[#This Row],[KG]]</f>
        <v>0.56590509666080846</v>
      </c>
      <c r="L50" s="247" t="s">
        <v>859</v>
      </c>
      <c r="M50" s="207">
        <f t="shared" si="8"/>
        <v>1208</v>
      </c>
      <c r="N50" s="198">
        <f t="shared" si="9"/>
        <v>0.14153485647334504</v>
      </c>
      <c r="O50" s="244">
        <v>6038</v>
      </c>
      <c r="P50" s="200">
        <f>Tabla34[[#This Row],[VOL TOTAL]]/Tabla34[[#This Row],[KG]]</f>
        <v>0.70743995313415353</v>
      </c>
      <c r="Q50" s="246"/>
      <c r="R50" s="247">
        <v>3.65</v>
      </c>
      <c r="S50" s="248">
        <v>3.39</v>
      </c>
      <c r="T50" s="249"/>
      <c r="U50" s="250">
        <f t="shared" si="10"/>
        <v>3.9653929343907715</v>
      </c>
      <c r="V50" s="239">
        <v>22</v>
      </c>
      <c r="W50" s="239">
        <f>Tabla34[[#This Row],[CANT KG A.TARTARICO]]*$W$2</f>
        <v>5170</v>
      </c>
      <c r="X50" s="261">
        <v>6.75</v>
      </c>
      <c r="Y50" s="248">
        <v>7.5</v>
      </c>
      <c r="Z50" s="249"/>
      <c r="AA50" s="239"/>
      <c r="AB50" s="239"/>
      <c r="AC50" s="239">
        <v>80</v>
      </c>
      <c r="AD50" s="239"/>
      <c r="AE50" s="187"/>
    </row>
    <row r="51" spans="1:31" ht="14.5" x14ac:dyDescent="0.35">
      <c r="A51" s="262">
        <v>45942</v>
      </c>
      <c r="B51" s="187">
        <v>21</v>
      </c>
      <c r="C51" s="187" t="s">
        <v>860</v>
      </c>
      <c r="D51" s="189">
        <v>10861</v>
      </c>
      <c r="E51" s="190" t="s">
        <v>685</v>
      </c>
      <c r="F51" s="190" t="s">
        <v>464</v>
      </c>
      <c r="G51" s="191">
        <v>7060</v>
      </c>
      <c r="H51" s="192">
        <f t="shared" si="11"/>
        <v>0.65003222539361016</v>
      </c>
      <c r="I51" s="192" t="s">
        <v>452</v>
      </c>
      <c r="J51" s="194">
        <v>4771</v>
      </c>
      <c r="K51" s="211">
        <f>J51/D51</f>
        <v>0.43927815118313229</v>
      </c>
      <c r="L51" s="202"/>
      <c r="M51" s="207">
        <f t="shared" si="8"/>
        <v>-4771</v>
      </c>
      <c r="N51" s="198">
        <f t="shared" si="9"/>
        <v>-0.43927815118313229</v>
      </c>
      <c r="O51" s="199"/>
      <c r="P51" s="200"/>
      <c r="Q51" s="201"/>
      <c r="R51" s="202">
        <v>3.34</v>
      </c>
      <c r="S51" s="214"/>
      <c r="T51" s="209"/>
      <c r="U51" s="204">
        <f t="shared" si="10"/>
        <v>1.5014164305949009</v>
      </c>
      <c r="V51" s="187">
        <v>10.6</v>
      </c>
      <c r="W51" s="187">
        <f>V51*$W$2</f>
        <v>2491</v>
      </c>
      <c r="X51" s="258">
        <v>8.1</v>
      </c>
      <c r="Y51" s="214"/>
      <c r="Z51" s="209"/>
      <c r="AA51" s="187"/>
      <c r="AB51" s="187"/>
      <c r="AC51" s="187"/>
      <c r="AD51" s="187"/>
      <c r="AE51" s="187"/>
    </row>
    <row r="52" spans="1:31" ht="14.5" x14ac:dyDescent="0.35">
      <c r="A52" s="262">
        <v>45944</v>
      </c>
      <c r="B52" s="187">
        <v>12</v>
      </c>
      <c r="C52" s="188" t="s">
        <v>260</v>
      </c>
      <c r="D52" s="189">
        <v>6195</v>
      </c>
      <c r="E52" s="190" t="s">
        <v>687</v>
      </c>
      <c r="F52" s="190" t="s">
        <v>688</v>
      </c>
      <c r="G52" s="191">
        <v>4027</v>
      </c>
      <c r="H52" s="192">
        <f t="shared" si="11"/>
        <v>0.65004035512510083</v>
      </c>
      <c r="I52" s="192" t="s">
        <v>489</v>
      </c>
      <c r="J52" s="194">
        <v>3192.5</v>
      </c>
      <c r="K52" s="211">
        <f>J52/D52</f>
        <v>0.51533494753833742</v>
      </c>
      <c r="L52" s="192" t="s">
        <v>489</v>
      </c>
      <c r="M52" s="207">
        <f t="shared" si="8"/>
        <v>1082.5</v>
      </c>
      <c r="N52" s="198">
        <f t="shared" si="9"/>
        <v>0.17473769168684422</v>
      </c>
      <c r="O52" s="199">
        <v>4275</v>
      </c>
      <c r="P52" s="200">
        <f>O52/D52</f>
        <v>0.69007263922518158</v>
      </c>
      <c r="Q52" s="201"/>
      <c r="R52" s="202">
        <v>3.38</v>
      </c>
      <c r="S52" s="214"/>
      <c r="T52" s="209"/>
      <c r="U52" s="204">
        <f t="shared" si="10"/>
        <v>3.973181028060591</v>
      </c>
      <c r="V52" s="187">
        <v>16</v>
      </c>
      <c r="W52" s="187">
        <f t="shared" ref="W52:W96" si="12">V52*$W$2</f>
        <v>3760</v>
      </c>
      <c r="X52" s="205">
        <v>7.8</v>
      </c>
      <c r="Y52" s="214"/>
      <c r="Z52" s="209"/>
      <c r="AA52" s="187"/>
      <c r="AB52" s="187"/>
      <c r="AC52" s="187"/>
      <c r="AD52" s="187"/>
      <c r="AE52" s="187"/>
    </row>
    <row r="53" spans="1:31" ht="14.5" x14ac:dyDescent="0.35">
      <c r="A53" s="262">
        <v>45944</v>
      </c>
      <c r="B53" s="187">
        <v>11</v>
      </c>
      <c r="C53" s="187" t="s">
        <v>260</v>
      </c>
      <c r="D53" s="189">
        <v>6788</v>
      </c>
      <c r="E53" s="190" t="s">
        <v>690</v>
      </c>
      <c r="F53" s="190" t="s">
        <v>505</v>
      </c>
      <c r="G53" s="191">
        <v>4412</v>
      </c>
      <c r="H53" s="192">
        <f>G53/D53</f>
        <v>0.64997053624042422</v>
      </c>
      <c r="I53" s="192" t="s">
        <v>489</v>
      </c>
      <c r="J53" s="194">
        <v>3192.5</v>
      </c>
      <c r="K53" s="211">
        <f>J53/D53</f>
        <v>0.47031526222746023</v>
      </c>
      <c r="L53" s="192" t="s">
        <v>489</v>
      </c>
      <c r="M53" s="207">
        <f>O53-J53</f>
        <v>1082.5</v>
      </c>
      <c r="N53" s="198">
        <f t="shared" si="9"/>
        <v>0.15947259870359459</v>
      </c>
      <c r="O53" s="199">
        <v>4275</v>
      </c>
      <c r="P53" s="200">
        <f>O53/D53</f>
        <v>0.62978786093105477</v>
      </c>
      <c r="Q53" s="201"/>
      <c r="R53" s="202">
        <v>3.16</v>
      </c>
      <c r="S53" s="214"/>
      <c r="T53" s="209"/>
      <c r="U53" s="204">
        <f t="shared" si="10"/>
        <v>3.9891205802357206</v>
      </c>
      <c r="V53" s="187">
        <v>17.600000000000001</v>
      </c>
      <c r="W53" s="187">
        <f t="shared" si="12"/>
        <v>4136</v>
      </c>
      <c r="X53" s="205">
        <v>8.85</v>
      </c>
      <c r="Y53" s="214"/>
      <c r="Z53" s="209"/>
      <c r="AA53" s="187"/>
      <c r="AB53" s="187"/>
      <c r="AC53" s="187"/>
      <c r="AD53" s="187"/>
      <c r="AE53" s="187"/>
    </row>
    <row r="54" spans="1:31" ht="14.5" x14ac:dyDescent="0.35">
      <c r="A54" s="262">
        <v>45944</v>
      </c>
      <c r="B54" s="187">
        <v>1</v>
      </c>
      <c r="C54" s="188" t="s">
        <v>260</v>
      </c>
      <c r="D54" s="189">
        <v>593</v>
      </c>
      <c r="E54" s="190" t="s">
        <v>723</v>
      </c>
      <c r="F54" s="190" t="s">
        <v>528</v>
      </c>
      <c r="G54" s="191">
        <f>D54*0.65</f>
        <v>385.45</v>
      </c>
      <c r="H54" s="192">
        <f>G54/D54</f>
        <v>0.65</v>
      </c>
      <c r="I54" s="192" t="s">
        <v>528</v>
      </c>
      <c r="J54" s="194">
        <f>16261-15969</f>
        <v>292</v>
      </c>
      <c r="K54" s="211"/>
      <c r="L54" s="202"/>
      <c r="M54" s="207"/>
      <c r="N54" s="198"/>
      <c r="O54" s="199"/>
      <c r="P54" s="200"/>
      <c r="Q54" s="201"/>
      <c r="R54" s="202">
        <v>3.96</v>
      </c>
      <c r="S54" s="203">
        <v>3.77</v>
      </c>
      <c r="T54" s="209"/>
      <c r="U54" s="204">
        <f t="shared" si="10"/>
        <v>5.4870930081722653</v>
      </c>
      <c r="V54" s="187">
        <f>0.955+1.16</f>
        <v>2.1149999999999998</v>
      </c>
      <c r="W54" s="187">
        <f t="shared" si="12"/>
        <v>497.02499999999992</v>
      </c>
      <c r="X54" s="205">
        <v>5.0999999999999996</v>
      </c>
      <c r="Y54" s="203">
        <v>7.05</v>
      </c>
      <c r="Z54" s="187"/>
      <c r="AA54" s="187"/>
      <c r="AB54" s="187"/>
      <c r="AC54" s="187"/>
      <c r="AD54" s="187"/>
      <c r="AE54" s="187"/>
    </row>
    <row r="55" spans="1:31" ht="14.5" x14ac:dyDescent="0.35">
      <c r="A55" s="262">
        <v>45944</v>
      </c>
      <c r="B55" s="187" t="s">
        <v>567</v>
      </c>
      <c r="C55" s="187" t="s">
        <v>861</v>
      </c>
      <c r="D55" s="189">
        <v>600</v>
      </c>
      <c r="E55" s="190" t="s">
        <v>726</v>
      </c>
      <c r="F55" s="190" t="s">
        <v>467</v>
      </c>
      <c r="G55" s="191">
        <v>2184</v>
      </c>
      <c r="H55" s="192">
        <f>G55/D55</f>
        <v>3.64</v>
      </c>
      <c r="I55" s="192" t="s">
        <v>525</v>
      </c>
      <c r="J55" s="194">
        <f>7439-5568</f>
        <v>1871</v>
      </c>
      <c r="K55" s="211">
        <f>J55/D55</f>
        <v>3.1183333333333332</v>
      </c>
      <c r="L55" s="196" t="s">
        <v>525</v>
      </c>
      <c r="M55" s="207"/>
      <c r="N55" s="198"/>
      <c r="O55" s="199"/>
      <c r="P55" s="200"/>
      <c r="Q55" s="201"/>
      <c r="R55" s="202">
        <v>3.34</v>
      </c>
      <c r="S55" s="203"/>
      <c r="T55" s="209"/>
      <c r="U55" s="204">
        <f t="shared" si="10"/>
        <v>0</v>
      </c>
      <c r="V55" s="187"/>
      <c r="W55" s="187">
        <f t="shared" si="12"/>
        <v>0</v>
      </c>
      <c r="X55" s="205">
        <v>7.5</v>
      </c>
      <c r="Y55" s="203"/>
      <c r="Z55" s="187"/>
      <c r="AA55" s="187"/>
      <c r="AB55" s="187"/>
      <c r="AC55" s="187"/>
      <c r="AD55" s="187"/>
      <c r="AE55" s="187"/>
    </row>
    <row r="56" spans="1:31" ht="14.5" x14ac:dyDescent="0.35">
      <c r="A56" s="262">
        <v>45944</v>
      </c>
      <c r="B56" s="187" t="s">
        <v>862</v>
      </c>
      <c r="C56" s="187" t="s">
        <v>863</v>
      </c>
      <c r="D56" s="189"/>
      <c r="E56" s="190"/>
      <c r="F56" s="190"/>
      <c r="G56" s="191"/>
      <c r="H56" s="192"/>
      <c r="I56" s="192"/>
      <c r="J56" s="194"/>
      <c r="K56" s="211"/>
      <c r="L56" s="202"/>
      <c r="M56" s="207"/>
      <c r="N56" s="198"/>
      <c r="O56" s="199"/>
      <c r="P56" s="200"/>
      <c r="Q56" s="201"/>
      <c r="R56" s="213"/>
      <c r="S56" s="214"/>
      <c r="T56" s="209"/>
      <c r="U56" s="215"/>
      <c r="V56" s="209"/>
      <c r="W56" s="209">
        <f t="shared" si="12"/>
        <v>0</v>
      </c>
      <c r="X56" s="216"/>
      <c r="Y56" s="214"/>
      <c r="Z56" s="187"/>
      <c r="AA56" s="187"/>
      <c r="AB56" s="187"/>
      <c r="AC56" s="187"/>
      <c r="AD56" s="187"/>
      <c r="AE56" s="187"/>
    </row>
    <row r="57" spans="1:31" ht="14.5" x14ac:dyDescent="0.35">
      <c r="A57" s="262">
        <v>45944</v>
      </c>
      <c r="B57" s="187"/>
      <c r="C57" s="188" t="s">
        <v>646</v>
      </c>
      <c r="D57" s="263">
        <v>491</v>
      </c>
      <c r="E57" s="190" t="s">
        <v>693</v>
      </c>
      <c r="F57" s="190" t="s">
        <v>528</v>
      </c>
      <c r="G57" s="264">
        <v>183</v>
      </c>
      <c r="H57" s="416">
        <f>(G57+G58)/D57</f>
        <v>0.92464358452138495</v>
      </c>
      <c r="I57" s="265" t="s">
        <v>528</v>
      </c>
      <c r="J57" s="194">
        <v>100</v>
      </c>
      <c r="K57" s="420">
        <f>(J57+J58)/D57</f>
        <v>0.5865580448065173</v>
      </c>
      <c r="L57" s="196" t="s">
        <v>528</v>
      </c>
      <c r="M57" s="266">
        <v>683</v>
      </c>
      <c r="N57" s="225" t="s">
        <v>864</v>
      </c>
      <c r="O57" s="226"/>
      <c r="P57" s="227"/>
      <c r="Q57" s="228"/>
      <c r="R57" s="202">
        <v>3.36</v>
      </c>
      <c r="S57" s="203">
        <v>3.36</v>
      </c>
      <c r="T57" s="209"/>
      <c r="U57" s="233">
        <f>(V57*1000)/J57</f>
        <v>2.75</v>
      </c>
      <c r="V57" s="187">
        <v>0.27500000000000002</v>
      </c>
      <c r="W57" s="187">
        <f t="shared" si="12"/>
        <v>64.625</v>
      </c>
      <c r="X57" s="205">
        <v>6.15</v>
      </c>
      <c r="Y57" s="203">
        <v>6.15</v>
      </c>
      <c r="Z57" s="187"/>
      <c r="AA57" s="187"/>
      <c r="AB57" s="187"/>
      <c r="AC57" s="187"/>
      <c r="AD57" s="187"/>
      <c r="AE57" s="187"/>
    </row>
    <row r="58" spans="1:31" ht="14.5" x14ac:dyDescent="0.35">
      <c r="A58" s="262">
        <v>45944</v>
      </c>
      <c r="B58" s="187"/>
      <c r="C58" s="188"/>
      <c r="D58" s="263"/>
      <c r="E58" s="190" t="s">
        <v>708</v>
      </c>
      <c r="F58" s="190" t="s">
        <v>528</v>
      </c>
      <c r="G58" s="264">
        <v>271</v>
      </c>
      <c r="H58" s="417"/>
      <c r="I58" s="265" t="s">
        <v>528</v>
      </c>
      <c r="J58" s="194">
        <v>188</v>
      </c>
      <c r="K58" s="421"/>
      <c r="L58" s="196" t="s">
        <v>528</v>
      </c>
      <c r="M58" s="224"/>
      <c r="N58" s="225"/>
      <c r="O58" s="226"/>
      <c r="P58" s="227"/>
      <c r="Q58" s="228"/>
      <c r="R58" s="202">
        <v>3.3</v>
      </c>
      <c r="S58" s="203">
        <v>3.41</v>
      </c>
      <c r="T58" s="209"/>
      <c r="U58" s="233">
        <f>(V58*1000)/J58</f>
        <v>2.1648936170212765</v>
      </c>
      <c r="V58" s="187">
        <v>0.40699999999999997</v>
      </c>
      <c r="W58" s="187">
        <f t="shared" si="12"/>
        <v>95.644999999999996</v>
      </c>
      <c r="X58" s="205">
        <v>6.3</v>
      </c>
      <c r="Y58" s="203">
        <v>6.15</v>
      </c>
      <c r="Z58" s="187"/>
      <c r="AA58" s="187"/>
      <c r="AB58" s="187"/>
      <c r="AC58" s="187"/>
      <c r="AD58" s="187"/>
      <c r="AE58" s="187"/>
    </row>
    <row r="59" spans="1:31" ht="14.5" x14ac:dyDescent="0.35">
      <c r="A59" s="262">
        <v>45944</v>
      </c>
      <c r="B59" s="187"/>
      <c r="C59" s="188" t="s">
        <v>355</v>
      </c>
      <c r="D59" s="263">
        <v>336</v>
      </c>
      <c r="E59" s="190" t="s">
        <v>697</v>
      </c>
      <c r="F59" s="190" t="s">
        <v>528</v>
      </c>
      <c r="G59" s="264">
        <v>187</v>
      </c>
      <c r="H59" s="418">
        <f>(G59+G60)/D59</f>
        <v>0.9419642857142857</v>
      </c>
      <c r="I59" s="265" t="s">
        <v>528</v>
      </c>
      <c r="J59" s="194">
        <v>112</v>
      </c>
      <c r="K59" s="420">
        <f>(J59+J60)/D59</f>
        <v>0.52083333333333337</v>
      </c>
      <c r="L59" s="196" t="s">
        <v>528</v>
      </c>
      <c r="M59" s="224"/>
      <c r="N59" s="225"/>
      <c r="O59" s="226"/>
      <c r="P59" s="227"/>
      <c r="Q59" s="228"/>
      <c r="R59" s="202">
        <v>3.6</v>
      </c>
      <c r="S59" s="203">
        <v>3.3</v>
      </c>
      <c r="T59" s="209"/>
      <c r="U59" s="233">
        <f>(V59*1000)/J59</f>
        <v>2.4910714285714284</v>
      </c>
      <c r="V59" s="187">
        <v>0.27900000000000003</v>
      </c>
      <c r="W59" s="187">
        <f t="shared" si="12"/>
        <v>65.565000000000012</v>
      </c>
      <c r="X59" s="205">
        <v>4.6500000000000004</v>
      </c>
      <c r="Y59" s="203">
        <v>6.3</v>
      </c>
      <c r="Z59" s="187"/>
      <c r="AA59" s="187"/>
      <c r="AB59" s="187"/>
      <c r="AC59" s="187"/>
      <c r="AD59" s="187"/>
      <c r="AE59" s="187"/>
    </row>
    <row r="60" spans="1:31" ht="14.5" x14ac:dyDescent="0.35">
      <c r="A60" s="262">
        <v>45944</v>
      </c>
      <c r="B60" s="187"/>
      <c r="C60" s="188"/>
      <c r="D60" s="263"/>
      <c r="E60" s="190" t="s">
        <v>712</v>
      </c>
      <c r="F60" s="190" t="s">
        <v>528</v>
      </c>
      <c r="G60" s="264">
        <v>129.5</v>
      </c>
      <c r="H60" s="419"/>
      <c r="I60" s="265" t="s">
        <v>528</v>
      </c>
      <c r="J60" s="194">
        <v>63</v>
      </c>
      <c r="K60" s="421"/>
      <c r="L60" s="196" t="s">
        <v>528</v>
      </c>
      <c r="M60" s="224"/>
      <c r="N60" s="225"/>
      <c r="O60" s="226"/>
      <c r="P60" s="227"/>
      <c r="Q60" s="228"/>
      <c r="R60" s="202">
        <v>3.71</v>
      </c>
      <c r="S60" s="203">
        <v>3.29</v>
      </c>
      <c r="T60" s="209"/>
      <c r="U60" s="233">
        <f>(V60*1000)/J60</f>
        <v>3.0952380952380953</v>
      </c>
      <c r="V60" s="187">
        <v>0.19500000000000001</v>
      </c>
      <c r="W60" s="187">
        <f t="shared" si="12"/>
        <v>45.825000000000003</v>
      </c>
      <c r="X60" s="205">
        <v>4.2</v>
      </c>
      <c r="Y60" s="203">
        <v>5.4</v>
      </c>
      <c r="Z60" s="187"/>
      <c r="AA60" s="187"/>
      <c r="AB60" s="187"/>
      <c r="AC60" s="187"/>
      <c r="AD60" s="187"/>
      <c r="AE60" s="187"/>
    </row>
    <row r="61" spans="1:31" ht="14.5" x14ac:dyDescent="0.35">
      <c r="A61" s="262">
        <v>45944</v>
      </c>
      <c r="B61" s="187"/>
      <c r="C61" s="188" t="s">
        <v>359</v>
      </c>
      <c r="D61" s="263">
        <v>734</v>
      </c>
      <c r="E61" s="190" t="s">
        <v>701</v>
      </c>
      <c r="F61" s="190" t="s">
        <v>528</v>
      </c>
      <c r="G61" s="264">
        <v>372</v>
      </c>
      <c r="H61" s="265"/>
      <c r="I61" s="265" t="s">
        <v>528</v>
      </c>
      <c r="J61" s="194">
        <v>188</v>
      </c>
      <c r="K61" s="223"/>
      <c r="L61" s="196" t="s">
        <v>528</v>
      </c>
      <c r="M61" s="224"/>
      <c r="N61" s="225"/>
      <c r="O61" s="226"/>
      <c r="P61" s="227"/>
      <c r="Q61" s="228"/>
      <c r="R61" s="202">
        <v>3.53</v>
      </c>
      <c r="S61" s="203">
        <v>3.46</v>
      </c>
      <c r="T61" s="209"/>
      <c r="U61" s="233">
        <f>(V61*1000)/J61</f>
        <v>2.978723404255319</v>
      </c>
      <c r="V61" s="187">
        <v>0.56000000000000005</v>
      </c>
      <c r="W61" s="187">
        <f t="shared" si="12"/>
        <v>131.60000000000002</v>
      </c>
      <c r="X61" s="205">
        <v>4.95</v>
      </c>
      <c r="Y61" s="203">
        <v>5.85</v>
      </c>
      <c r="Z61" s="187"/>
      <c r="AA61" s="187"/>
      <c r="AB61" s="187"/>
      <c r="AC61" s="187"/>
      <c r="AD61" s="187"/>
      <c r="AE61" s="187"/>
    </row>
    <row r="62" spans="1:31" ht="14.5" x14ac:dyDescent="0.35">
      <c r="A62" s="262">
        <v>45944</v>
      </c>
      <c r="B62" s="187"/>
      <c r="C62" s="188"/>
      <c r="D62" s="263"/>
      <c r="E62" s="190" t="s">
        <v>704</v>
      </c>
      <c r="F62" s="190" t="s">
        <v>528</v>
      </c>
      <c r="G62" s="264">
        <v>295.5</v>
      </c>
      <c r="H62" s="265"/>
      <c r="I62" s="265" t="s">
        <v>528</v>
      </c>
      <c r="J62" s="194" t="s">
        <v>865</v>
      </c>
      <c r="K62" s="223"/>
      <c r="L62" s="196" t="s">
        <v>528</v>
      </c>
      <c r="M62" s="224"/>
      <c r="N62" s="225"/>
      <c r="O62" s="226"/>
      <c r="P62" s="227"/>
      <c r="Q62" s="228"/>
      <c r="R62" s="202">
        <v>3.29</v>
      </c>
      <c r="S62" s="203">
        <v>3.5</v>
      </c>
      <c r="T62" s="209"/>
      <c r="U62" s="267" t="s">
        <v>204</v>
      </c>
      <c r="V62" s="187">
        <v>0.44</v>
      </c>
      <c r="W62" s="187">
        <f t="shared" si="12"/>
        <v>103.4</v>
      </c>
      <c r="X62" s="205">
        <v>5.4</v>
      </c>
      <c r="Y62" s="203">
        <v>5.7</v>
      </c>
      <c r="Z62" s="187"/>
      <c r="AA62" s="187"/>
      <c r="AB62" s="187"/>
      <c r="AC62" s="187"/>
      <c r="AD62" s="187"/>
      <c r="AE62" s="187"/>
    </row>
    <row r="63" spans="1:31" ht="14.5" x14ac:dyDescent="0.35">
      <c r="A63" s="262">
        <v>45944</v>
      </c>
      <c r="B63" s="187"/>
      <c r="C63" s="188" t="s">
        <v>361</v>
      </c>
      <c r="D63" s="263">
        <v>855.5</v>
      </c>
      <c r="E63" s="190" t="s">
        <v>716</v>
      </c>
      <c r="F63" s="190" t="s">
        <v>528</v>
      </c>
      <c r="G63" s="264">
        <v>304.5</v>
      </c>
      <c r="H63" s="265"/>
      <c r="I63" s="265" t="s">
        <v>528</v>
      </c>
      <c r="J63" s="194" t="s">
        <v>865</v>
      </c>
      <c r="K63" s="223"/>
      <c r="L63" s="196" t="s">
        <v>528</v>
      </c>
      <c r="M63" s="224"/>
      <c r="N63" s="225"/>
      <c r="O63" s="226"/>
      <c r="P63" s="227"/>
      <c r="Q63" s="228"/>
      <c r="R63" s="202">
        <v>3.37</v>
      </c>
      <c r="S63" s="203">
        <v>3.37</v>
      </c>
      <c r="T63" s="209"/>
      <c r="U63" s="267" t="s">
        <v>204</v>
      </c>
      <c r="V63" s="187">
        <v>0.46</v>
      </c>
      <c r="W63" s="187">
        <f t="shared" si="12"/>
        <v>108.10000000000001</v>
      </c>
      <c r="X63" s="205">
        <v>6.15</v>
      </c>
      <c r="Y63" s="203">
        <v>6.15</v>
      </c>
      <c r="Z63" s="187"/>
      <c r="AA63" s="187"/>
      <c r="AB63" s="187"/>
      <c r="AC63" s="187"/>
      <c r="AD63" s="187"/>
      <c r="AE63" s="187"/>
    </row>
    <row r="64" spans="1:31" ht="14.5" x14ac:dyDescent="0.35">
      <c r="A64" s="262">
        <v>45944</v>
      </c>
      <c r="B64" s="187"/>
      <c r="C64" s="188"/>
      <c r="D64" s="263"/>
      <c r="E64" s="190" t="s">
        <v>719</v>
      </c>
      <c r="F64" s="190" t="s">
        <v>528</v>
      </c>
      <c r="G64" s="264">
        <v>493.5</v>
      </c>
      <c r="H64" s="265"/>
      <c r="I64" s="265" t="s">
        <v>528</v>
      </c>
      <c r="J64" s="194">
        <v>288</v>
      </c>
      <c r="K64" s="223"/>
      <c r="L64" s="196" t="s">
        <v>528</v>
      </c>
      <c r="M64" s="224"/>
      <c r="N64" s="225"/>
      <c r="O64" s="226"/>
      <c r="P64" s="227"/>
      <c r="Q64" s="228"/>
      <c r="R64" s="202">
        <v>3.54</v>
      </c>
      <c r="S64" s="203">
        <v>3.4</v>
      </c>
      <c r="T64" s="209"/>
      <c r="U64" s="233">
        <f>(V64*1000)/J64</f>
        <v>2.5694444444444446</v>
      </c>
      <c r="V64" s="187">
        <v>0.74</v>
      </c>
      <c r="W64" s="187">
        <f t="shared" si="12"/>
        <v>173.9</v>
      </c>
      <c r="X64" s="205">
        <v>5.7</v>
      </c>
      <c r="Y64" s="203">
        <v>6.6</v>
      </c>
      <c r="Z64" s="187"/>
      <c r="AA64" s="187"/>
      <c r="AB64" s="187"/>
      <c r="AC64" s="187"/>
      <c r="AD64" s="187"/>
      <c r="AE64" s="187"/>
    </row>
    <row r="65" spans="1:31" ht="14.5" x14ac:dyDescent="0.35">
      <c r="A65" s="262">
        <v>45946</v>
      </c>
      <c r="B65" s="187">
        <v>22</v>
      </c>
      <c r="C65" s="187" t="s">
        <v>866</v>
      </c>
      <c r="D65" s="189">
        <v>9202</v>
      </c>
      <c r="E65" s="190" t="s">
        <v>728</v>
      </c>
      <c r="F65" s="190" t="s">
        <v>867</v>
      </c>
      <c r="G65" s="191">
        <f>D65*0.65</f>
        <v>5981.3</v>
      </c>
      <c r="H65" s="192">
        <f t="shared" ref="H65:H73" si="13">G65/D65</f>
        <v>0.65</v>
      </c>
      <c r="I65" s="199" t="s">
        <v>557</v>
      </c>
      <c r="J65" s="194">
        <v>5012</v>
      </c>
      <c r="K65" s="211">
        <f>J65/D65</f>
        <v>0.5446642034340361</v>
      </c>
      <c r="L65" s="202" t="s">
        <v>557</v>
      </c>
      <c r="M65" s="207">
        <f>O65-J65</f>
        <v>1497</v>
      </c>
      <c r="N65" s="198">
        <f>O65/D65</f>
        <v>0.7073462290806346</v>
      </c>
      <c r="O65" s="199">
        <v>6509</v>
      </c>
      <c r="P65" s="200">
        <f>O65/D65</f>
        <v>0.7073462290806346</v>
      </c>
      <c r="Q65" s="201"/>
      <c r="R65" s="202">
        <v>3.34</v>
      </c>
      <c r="S65" s="214"/>
      <c r="T65" s="209"/>
      <c r="U65" s="204">
        <f t="shared" ref="U65:U74" si="14">(V65*1000)/G65</f>
        <v>4.1462558306722617</v>
      </c>
      <c r="V65" s="187">
        <f>(12.4+12.4)</f>
        <v>24.8</v>
      </c>
      <c r="W65" s="187">
        <f t="shared" si="12"/>
        <v>5828</v>
      </c>
      <c r="X65" s="268">
        <v>5.7</v>
      </c>
      <c r="Y65" s="203"/>
      <c r="Z65" s="187"/>
      <c r="AA65" s="187"/>
      <c r="AB65" s="187"/>
      <c r="AC65" s="187"/>
      <c r="AD65" s="187"/>
      <c r="AE65" s="187"/>
    </row>
    <row r="66" spans="1:31" ht="14.5" x14ac:dyDescent="0.35">
      <c r="A66" s="262">
        <v>45946</v>
      </c>
      <c r="B66" s="187">
        <v>1</v>
      </c>
      <c r="C66" s="188" t="s">
        <v>868</v>
      </c>
      <c r="D66" s="189">
        <v>331</v>
      </c>
      <c r="E66" s="190" t="s">
        <v>730</v>
      </c>
      <c r="F66" s="190" t="s">
        <v>528</v>
      </c>
      <c r="G66" s="191">
        <v>215</v>
      </c>
      <c r="H66" s="192">
        <f t="shared" si="13"/>
        <v>0.64954682779456197</v>
      </c>
      <c r="I66" s="192" t="s">
        <v>528</v>
      </c>
      <c r="J66" s="194">
        <v>163</v>
      </c>
      <c r="K66" s="211">
        <f>J66/D66</f>
        <v>0.49244712990936557</v>
      </c>
      <c r="L66" s="202"/>
      <c r="M66" s="207"/>
      <c r="N66" s="198"/>
      <c r="O66" s="199"/>
      <c r="P66" s="200"/>
      <c r="Q66" s="201"/>
      <c r="R66" s="202">
        <v>3.78</v>
      </c>
      <c r="S66" s="214"/>
      <c r="T66" s="209"/>
      <c r="U66" s="204">
        <f t="shared" si="14"/>
        <v>0</v>
      </c>
      <c r="V66" s="187"/>
      <c r="W66" s="187">
        <f t="shared" si="12"/>
        <v>0</v>
      </c>
      <c r="X66" s="269"/>
      <c r="Y66" s="203">
        <v>3.45</v>
      </c>
      <c r="Z66" s="270" t="s">
        <v>869</v>
      </c>
      <c r="AA66" s="187"/>
      <c r="AB66" s="187"/>
      <c r="AC66" s="187"/>
      <c r="AD66" s="187"/>
      <c r="AE66" s="187"/>
    </row>
    <row r="67" spans="1:31" ht="14.5" x14ac:dyDescent="0.35">
      <c r="A67" s="262">
        <v>45947</v>
      </c>
      <c r="B67" s="187">
        <v>11</v>
      </c>
      <c r="C67" s="187" t="s">
        <v>395</v>
      </c>
      <c r="D67" s="189">
        <v>5626.5</v>
      </c>
      <c r="E67" s="190" t="s">
        <v>732</v>
      </c>
      <c r="F67" s="190" t="s">
        <v>522</v>
      </c>
      <c r="G67" s="191">
        <f>D67*0.65</f>
        <v>3657.2249999999999</v>
      </c>
      <c r="H67" s="192">
        <f t="shared" si="13"/>
        <v>0.65</v>
      </c>
      <c r="I67" s="192" t="s">
        <v>508</v>
      </c>
      <c r="J67" s="194"/>
      <c r="K67" s="211"/>
      <c r="L67" s="202"/>
      <c r="M67" s="207"/>
      <c r="N67" s="198"/>
      <c r="O67" s="199"/>
      <c r="P67" s="200"/>
      <c r="Q67" s="201"/>
      <c r="R67" s="202">
        <v>3.63</v>
      </c>
      <c r="S67" s="203">
        <v>3.74</v>
      </c>
      <c r="T67" s="209"/>
      <c r="U67" s="204">
        <f t="shared" si="14"/>
        <v>3.4725782526369038</v>
      </c>
      <c r="V67" s="188">
        <f>7.3+5.4</f>
        <v>12.7</v>
      </c>
      <c r="W67" s="187">
        <f t="shared" si="12"/>
        <v>2984.5</v>
      </c>
      <c r="X67" s="269">
        <v>5.7</v>
      </c>
      <c r="Y67" s="203">
        <v>5.25</v>
      </c>
      <c r="Z67" s="270" t="s">
        <v>870</v>
      </c>
      <c r="AA67" s="187"/>
      <c r="AB67" s="187"/>
      <c r="AC67" s="187"/>
      <c r="AD67" s="187"/>
      <c r="AE67" s="187"/>
    </row>
    <row r="68" spans="1:31" ht="14.5" x14ac:dyDescent="0.35">
      <c r="A68" s="262">
        <v>45947</v>
      </c>
      <c r="B68" s="187">
        <v>1</v>
      </c>
      <c r="C68" s="187" t="s">
        <v>734</v>
      </c>
      <c r="D68" s="189">
        <v>440.5</v>
      </c>
      <c r="E68" s="190" t="s">
        <v>735</v>
      </c>
      <c r="F68" s="190" t="s">
        <v>528</v>
      </c>
      <c r="G68" s="191">
        <f>D68*0.65</f>
        <v>286.32499999999999</v>
      </c>
      <c r="H68" s="192">
        <f t="shared" si="13"/>
        <v>0.65</v>
      </c>
      <c r="I68" s="192" t="s">
        <v>528</v>
      </c>
      <c r="J68" s="194">
        <v>213</v>
      </c>
      <c r="K68" s="211"/>
      <c r="L68" s="202"/>
      <c r="M68" s="207"/>
      <c r="N68" s="198"/>
      <c r="O68" s="199"/>
      <c r="P68" s="200"/>
      <c r="Q68" s="201"/>
      <c r="R68" s="202">
        <v>3.79</v>
      </c>
      <c r="S68" s="203">
        <v>3.7</v>
      </c>
      <c r="T68" s="209"/>
      <c r="U68" s="204">
        <f t="shared" si="14"/>
        <v>3.9954597048808176</v>
      </c>
      <c r="V68" s="187">
        <f>0.429+0.715</f>
        <v>1.1439999999999999</v>
      </c>
      <c r="W68" s="187">
        <f t="shared" si="12"/>
        <v>268.83999999999997</v>
      </c>
      <c r="X68" s="269">
        <v>4.5</v>
      </c>
      <c r="Y68" s="203">
        <v>5.25</v>
      </c>
      <c r="Z68" s="188" t="s">
        <v>871</v>
      </c>
      <c r="AA68" s="187"/>
      <c r="AB68" s="187"/>
      <c r="AC68" s="187">
        <v>5.7</v>
      </c>
      <c r="AD68" s="187">
        <v>22.4</v>
      </c>
      <c r="AE68" s="187"/>
    </row>
    <row r="69" spans="1:31" ht="14.5" x14ac:dyDescent="0.35">
      <c r="A69" s="262">
        <v>45947</v>
      </c>
      <c r="B69" s="187">
        <v>1</v>
      </c>
      <c r="C69" s="187" t="s">
        <v>737</v>
      </c>
      <c r="D69" s="189">
        <v>434</v>
      </c>
      <c r="E69" s="190" t="s">
        <v>738</v>
      </c>
      <c r="F69" s="190" t="s">
        <v>528</v>
      </c>
      <c r="G69" s="191">
        <f t="shared" ref="G69:G71" si="15">D69*0.65</f>
        <v>282.10000000000002</v>
      </c>
      <c r="H69" s="192">
        <f t="shared" si="13"/>
        <v>0.65</v>
      </c>
      <c r="I69" s="192" t="s">
        <v>528</v>
      </c>
      <c r="J69" s="194">
        <v>213</v>
      </c>
      <c r="K69" s="211"/>
      <c r="L69" s="202"/>
      <c r="M69" s="207"/>
      <c r="N69" s="198"/>
      <c r="O69" s="199"/>
      <c r="P69" s="200"/>
      <c r="Q69" s="201"/>
      <c r="R69" s="202">
        <v>3.66</v>
      </c>
      <c r="S69" s="203">
        <v>3.69</v>
      </c>
      <c r="T69" s="209"/>
      <c r="U69" s="204">
        <f t="shared" si="14"/>
        <v>3.0981921304501947</v>
      </c>
      <c r="V69" s="187">
        <f>0.423+0.451</f>
        <v>0.874</v>
      </c>
      <c r="W69" s="187">
        <f t="shared" si="12"/>
        <v>205.39</v>
      </c>
      <c r="X69" s="269">
        <v>4.95</v>
      </c>
      <c r="Y69" s="203">
        <v>5.0999999999999996</v>
      </c>
      <c r="Z69" s="188" t="s">
        <v>871</v>
      </c>
      <c r="AA69" s="187"/>
      <c r="AB69" s="187"/>
      <c r="AC69" s="187">
        <v>5.6</v>
      </c>
      <c r="AD69" s="187">
        <v>21.9</v>
      </c>
      <c r="AE69" s="187"/>
    </row>
    <row r="70" spans="1:31" ht="14.5" x14ac:dyDescent="0.35">
      <c r="A70" s="262">
        <v>45947</v>
      </c>
      <c r="B70" s="187">
        <v>1</v>
      </c>
      <c r="C70" s="187" t="s">
        <v>740</v>
      </c>
      <c r="D70" s="189">
        <v>362.05</v>
      </c>
      <c r="E70" s="190" t="s">
        <v>741</v>
      </c>
      <c r="F70" s="190" t="s">
        <v>528</v>
      </c>
      <c r="G70" s="191">
        <f t="shared" si="15"/>
        <v>235.33250000000001</v>
      </c>
      <c r="H70" s="192">
        <f t="shared" si="13"/>
        <v>0.65</v>
      </c>
      <c r="I70" s="192" t="s">
        <v>528</v>
      </c>
      <c r="J70" s="194">
        <v>213</v>
      </c>
      <c r="K70" s="211"/>
      <c r="L70" s="202"/>
      <c r="M70" s="207"/>
      <c r="N70" s="198"/>
      <c r="O70" s="199"/>
      <c r="P70" s="200"/>
      <c r="Q70" s="201"/>
      <c r="R70" s="202">
        <v>3.71</v>
      </c>
      <c r="S70" s="203">
        <v>3.62</v>
      </c>
      <c r="T70" s="209"/>
      <c r="U70" s="204">
        <f t="shared" si="14"/>
        <v>3.4971795225903772</v>
      </c>
      <c r="V70" s="187">
        <f>0.353+0.47</f>
        <v>0.82299999999999995</v>
      </c>
      <c r="W70" s="187">
        <f t="shared" si="12"/>
        <v>193.405</v>
      </c>
      <c r="X70" s="269">
        <v>4.8</v>
      </c>
      <c r="Y70" s="203">
        <v>6</v>
      </c>
      <c r="Z70" s="188" t="s">
        <v>871</v>
      </c>
      <c r="AA70" s="187"/>
      <c r="AB70" s="187"/>
      <c r="AC70" s="187">
        <v>4.7</v>
      </c>
      <c r="AD70" s="187">
        <v>22.2</v>
      </c>
      <c r="AE70" s="187"/>
    </row>
    <row r="71" spans="1:31" ht="14.5" x14ac:dyDescent="0.35">
      <c r="A71" s="262">
        <v>45947</v>
      </c>
      <c r="B71" s="187">
        <v>12</v>
      </c>
      <c r="C71" s="187" t="s">
        <v>255</v>
      </c>
      <c r="D71" s="189">
        <v>5650.24</v>
      </c>
      <c r="E71" s="190" t="s">
        <v>744</v>
      </c>
      <c r="F71" s="190" t="s">
        <v>557</v>
      </c>
      <c r="G71" s="191">
        <f t="shared" si="15"/>
        <v>3672.6559999999999</v>
      </c>
      <c r="H71" s="192">
        <f t="shared" si="13"/>
        <v>0.65</v>
      </c>
      <c r="I71" s="192" t="s">
        <v>872</v>
      </c>
      <c r="J71" s="424">
        <v>8114</v>
      </c>
      <c r="K71" s="426">
        <f>J71/(D71+D72)</f>
        <v>0.55594381637547108</v>
      </c>
      <c r="L71" s="202" t="s">
        <v>873</v>
      </c>
      <c r="M71" s="410">
        <v>3323</v>
      </c>
      <c r="N71" s="412">
        <f>M71/(D71+D72)</f>
        <v>0.2276807125727989</v>
      </c>
      <c r="O71" s="414">
        <f>M71+J71</f>
        <v>11437</v>
      </c>
      <c r="P71" s="422">
        <f>N71+K71</f>
        <v>0.78362452894826995</v>
      </c>
      <c r="Q71" s="201"/>
      <c r="R71" s="202">
        <v>3.57</v>
      </c>
      <c r="S71" s="203">
        <v>3.47</v>
      </c>
      <c r="T71" s="209"/>
      <c r="U71" s="204">
        <f t="shared" si="14"/>
        <v>2.6955968650480742</v>
      </c>
      <c r="V71" s="187">
        <f>4.4+5.5</f>
        <v>9.9</v>
      </c>
      <c r="W71" s="187">
        <f t="shared" si="12"/>
        <v>2326.5</v>
      </c>
      <c r="X71" s="269">
        <v>5.0999999999999996</v>
      </c>
      <c r="Y71" s="203">
        <v>4.4000000000000004</v>
      </c>
      <c r="Z71" s="187"/>
      <c r="AA71" s="187"/>
      <c r="AB71" s="187"/>
      <c r="AC71" s="187">
        <v>55</v>
      </c>
      <c r="AD71" s="187">
        <v>23.4</v>
      </c>
      <c r="AE71" s="187"/>
    </row>
    <row r="72" spans="1:31" ht="14.5" x14ac:dyDescent="0.35">
      <c r="A72" s="262">
        <v>45947</v>
      </c>
      <c r="B72" s="187">
        <v>19</v>
      </c>
      <c r="C72" s="187" t="s">
        <v>255</v>
      </c>
      <c r="D72" s="189">
        <v>8944.76</v>
      </c>
      <c r="E72" s="190" t="s">
        <v>746</v>
      </c>
      <c r="F72" s="190" t="s">
        <v>565</v>
      </c>
      <c r="G72" s="191">
        <v>5814</v>
      </c>
      <c r="H72" s="192">
        <f t="shared" si="13"/>
        <v>0.64998949105398018</v>
      </c>
      <c r="I72" s="192" t="s">
        <v>872</v>
      </c>
      <c r="J72" s="425"/>
      <c r="K72" s="427"/>
      <c r="L72" s="202"/>
      <c r="M72" s="411"/>
      <c r="N72" s="413"/>
      <c r="O72" s="415"/>
      <c r="P72" s="423"/>
      <c r="Q72" s="201"/>
      <c r="R72" s="202">
        <v>3.61</v>
      </c>
      <c r="S72" s="214"/>
      <c r="T72" s="209"/>
      <c r="U72" s="204">
        <f t="shared" si="14"/>
        <v>1.4000687994496046</v>
      </c>
      <c r="V72" s="187">
        <v>8.14</v>
      </c>
      <c r="W72" s="187">
        <f t="shared" si="12"/>
        <v>1912.9</v>
      </c>
      <c r="X72" s="269">
        <v>4.5</v>
      </c>
      <c r="Y72" s="203"/>
      <c r="Z72" s="270" t="s">
        <v>874</v>
      </c>
      <c r="AA72" s="187"/>
      <c r="AB72" s="187"/>
      <c r="AC72" s="187">
        <v>87</v>
      </c>
      <c r="AD72" s="187">
        <v>23.7</v>
      </c>
      <c r="AE72" s="187"/>
    </row>
    <row r="73" spans="1:31" ht="14.5" x14ac:dyDescent="0.35">
      <c r="A73" s="262">
        <v>45948</v>
      </c>
      <c r="B73" s="187">
        <v>21</v>
      </c>
      <c r="C73" s="187" t="s">
        <v>406</v>
      </c>
      <c r="D73" s="189">
        <v>6813.5</v>
      </c>
      <c r="E73" s="190" t="s">
        <v>748</v>
      </c>
      <c r="F73" s="190" t="s">
        <v>464</v>
      </c>
      <c r="G73" s="191">
        <v>4429</v>
      </c>
      <c r="H73" s="192">
        <f t="shared" si="13"/>
        <v>0.6500330226755705</v>
      </c>
      <c r="I73" s="192" t="s">
        <v>859</v>
      </c>
      <c r="J73" s="194">
        <v>3503</v>
      </c>
      <c r="K73" s="211">
        <f>J73/D73</f>
        <v>0.51412636677184997</v>
      </c>
      <c r="L73" s="202" t="s">
        <v>859</v>
      </c>
      <c r="M73" s="207">
        <f>O73-J73</f>
        <v>1534</v>
      </c>
      <c r="N73" s="198">
        <f>M73/D73</f>
        <v>0.2251412636677185</v>
      </c>
      <c r="O73" s="199">
        <v>5037</v>
      </c>
      <c r="P73" s="200">
        <f>K73+N73</f>
        <v>0.73926763043956845</v>
      </c>
      <c r="Q73" s="201"/>
      <c r="R73" s="202">
        <v>3.42</v>
      </c>
      <c r="S73" s="214"/>
      <c r="T73" s="209"/>
      <c r="U73" s="204">
        <f t="shared" si="14"/>
        <v>2.0094829532625873</v>
      </c>
      <c r="V73" s="187">
        <v>8.9</v>
      </c>
      <c r="W73" s="187">
        <f t="shared" si="12"/>
        <v>2091.5</v>
      </c>
      <c r="X73" s="269">
        <v>5.55</v>
      </c>
      <c r="Y73" s="203"/>
      <c r="Z73" s="209"/>
      <c r="AA73" s="187"/>
      <c r="AB73" s="187"/>
      <c r="AC73" s="187">
        <v>128</v>
      </c>
      <c r="AD73" s="187">
        <v>24.1</v>
      </c>
      <c r="AE73" s="187"/>
    </row>
    <row r="74" spans="1:31" ht="14.5" x14ac:dyDescent="0.35">
      <c r="A74" s="262">
        <v>45948</v>
      </c>
      <c r="B74" s="187">
        <v>2</v>
      </c>
      <c r="C74" s="187" t="s">
        <v>412</v>
      </c>
      <c r="D74" s="189">
        <v>571.5</v>
      </c>
      <c r="E74" s="388" t="s">
        <v>750</v>
      </c>
      <c r="F74" s="390" t="s">
        <v>508</v>
      </c>
      <c r="G74" s="392">
        <f>(D74+D75+D76)*0.65</f>
        <v>3378.05</v>
      </c>
      <c r="H74" s="395">
        <f>G74/(D74+D75+D76)</f>
        <v>0.65</v>
      </c>
      <c r="I74" s="395" t="s">
        <v>525</v>
      </c>
      <c r="J74" s="194">
        <v>2687</v>
      </c>
      <c r="K74" s="211">
        <f>J74/(D74+D76+D75)</f>
        <v>0.51702905522416776</v>
      </c>
      <c r="L74" s="202" t="s">
        <v>525</v>
      </c>
      <c r="M74" s="207">
        <f>O74-J74</f>
        <v>1000</v>
      </c>
      <c r="N74" s="273">
        <f>M74/(D74+D76+D75)</f>
        <v>0.19241870309794112</v>
      </c>
      <c r="O74" s="199">
        <v>3687</v>
      </c>
      <c r="P74" s="200">
        <f t="shared" ref="P74:P84" si="16">K74+N74</f>
        <v>0.70944775832210882</v>
      </c>
      <c r="Q74" s="201"/>
      <c r="R74" s="202">
        <v>3.46</v>
      </c>
      <c r="S74" s="214"/>
      <c r="T74" s="209"/>
      <c r="U74" s="204">
        <f t="shared" si="14"/>
        <v>3.0490963721673747</v>
      </c>
      <c r="V74" s="187">
        <v>10.3</v>
      </c>
      <c r="W74" s="187">
        <f t="shared" si="12"/>
        <v>2420.5</v>
      </c>
      <c r="X74" s="269">
        <v>6.6</v>
      </c>
      <c r="Y74" s="203"/>
      <c r="Z74" s="209"/>
      <c r="AA74" s="187"/>
      <c r="AB74" s="187"/>
      <c r="AC74" s="187">
        <v>103</v>
      </c>
      <c r="AD74" s="187">
        <v>23.2</v>
      </c>
      <c r="AE74" s="187"/>
    </row>
    <row r="75" spans="1:31" ht="14.5" x14ac:dyDescent="0.35">
      <c r="A75" s="262">
        <v>45948</v>
      </c>
      <c r="B75" s="187">
        <v>3</v>
      </c>
      <c r="C75" s="187" t="s">
        <v>414</v>
      </c>
      <c r="D75" s="189">
        <v>644</v>
      </c>
      <c r="E75" s="407"/>
      <c r="F75" s="408"/>
      <c r="G75" s="394"/>
      <c r="H75" s="396"/>
      <c r="I75" s="396"/>
      <c r="J75" s="194"/>
      <c r="K75" s="211"/>
      <c r="L75" s="202"/>
      <c r="M75" s="207"/>
      <c r="N75" s="198"/>
      <c r="O75" s="199"/>
      <c r="P75" s="200">
        <f t="shared" si="16"/>
        <v>0</v>
      </c>
      <c r="Q75" s="201"/>
      <c r="R75" s="213"/>
      <c r="S75" s="214"/>
      <c r="T75" s="209"/>
      <c r="U75" s="215"/>
      <c r="V75" s="209"/>
      <c r="W75" s="209"/>
      <c r="X75" s="216"/>
      <c r="Y75" s="214"/>
      <c r="Z75" s="209"/>
      <c r="AA75" s="187"/>
      <c r="AB75" s="187"/>
      <c r="AC75" s="187"/>
      <c r="AD75" s="188"/>
      <c r="AE75" s="187"/>
    </row>
    <row r="76" spans="1:31" ht="14.5" x14ac:dyDescent="0.35">
      <c r="A76" s="262">
        <v>45948</v>
      </c>
      <c r="B76" s="187">
        <v>12</v>
      </c>
      <c r="C76" s="187" t="s">
        <v>408</v>
      </c>
      <c r="D76" s="189">
        <v>3981.5</v>
      </c>
      <c r="E76" s="389"/>
      <c r="F76" s="391"/>
      <c r="G76" s="393"/>
      <c r="H76" s="397"/>
      <c r="I76" s="397"/>
      <c r="J76" s="194"/>
      <c r="K76" s="211"/>
      <c r="L76" s="202"/>
      <c r="M76" s="207"/>
      <c r="N76" s="198"/>
      <c r="O76" s="199"/>
      <c r="P76" s="200">
        <f t="shared" si="16"/>
        <v>0</v>
      </c>
      <c r="Q76" s="201"/>
      <c r="R76" s="213"/>
      <c r="S76" s="214"/>
      <c r="T76" s="209"/>
      <c r="U76" s="215"/>
      <c r="V76" s="209"/>
      <c r="W76" s="209"/>
      <c r="X76" s="216"/>
      <c r="Y76" s="214"/>
      <c r="Z76" s="209"/>
      <c r="AA76" s="187"/>
      <c r="AB76" s="187"/>
      <c r="AC76" s="187"/>
      <c r="AD76" s="187"/>
      <c r="AE76" s="187"/>
    </row>
    <row r="77" spans="1:31" ht="14.5" x14ac:dyDescent="0.35">
      <c r="A77" s="262">
        <v>45948</v>
      </c>
      <c r="B77" s="187">
        <v>1</v>
      </c>
      <c r="C77" s="188" t="s">
        <v>410</v>
      </c>
      <c r="D77" s="189">
        <v>161.5</v>
      </c>
      <c r="E77" s="190" t="s">
        <v>752</v>
      </c>
      <c r="F77" s="190" t="s">
        <v>528</v>
      </c>
      <c r="G77" s="191">
        <f>D77*0.65</f>
        <v>104.97500000000001</v>
      </c>
      <c r="H77" s="192">
        <f>G77/D77</f>
        <v>0.65</v>
      </c>
      <c r="I77" s="192" t="s">
        <v>501</v>
      </c>
      <c r="J77" s="194">
        <v>80</v>
      </c>
      <c r="K77" s="211" t="s">
        <v>875</v>
      </c>
      <c r="L77" s="202"/>
      <c r="M77" s="207"/>
      <c r="N77" s="198"/>
      <c r="O77" s="199"/>
      <c r="P77" s="200" t="e">
        <f t="shared" si="16"/>
        <v>#VALUE!</v>
      </c>
      <c r="Q77" s="201"/>
      <c r="R77" s="202">
        <v>3.74</v>
      </c>
      <c r="S77" s="203">
        <v>3.64</v>
      </c>
      <c r="T77" s="187"/>
      <c r="U77" s="204">
        <f>(V77*1000)/G77</f>
        <v>3.5055965706120502</v>
      </c>
      <c r="V77" s="187">
        <f>0.105+0.263</f>
        <v>0.36799999999999999</v>
      </c>
      <c r="W77" s="187">
        <f t="shared" si="12"/>
        <v>86.48</v>
      </c>
      <c r="X77" s="205">
        <v>4.8</v>
      </c>
      <c r="Y77" s="203">
        <v>5.7</v>
      </c>
      <c r="Z77" s="209"/>
      <c r="AA77" s="187"/>
      <c r="AB77" s="187"/>
      <c r="AC77" s="187">
        <v>3.15</v>
      </c>
      <c r="AD77" s="187">
        <v>24.7</v>
      </c>
      <c r="AE77" s="187"/>
    </row>
    <row r="78" spans="1:31" ht="14.5" x14ac:dyDescent="0.35">
      <c r="A78" s="262">
        <v>45948</v>
      </c>
      <c r="B78" s="187">
        <v>1</v>
      </c>
      <c r="C78" s="188" t="s">
        <v>876</v>
      </c>
      <c r="D78" s="189">
        <v>446.5</v>
      </c>
      <c r="E78" s="190" t="s">
        <v>755</v>
      </c>
      <c r="F78" s="190" t="s">
        <v>528</v>
      </c>
      <c r="G78" s="191">
        <f>D78*0.65</f>
        <v>290.22500000000002</v>
      </c>
      <c r="H78" s="192">
        <f t="shared" ref="H78" si="17">G78/D78</f>
        <v>0.65</v>
      </c>
      <c r="I78" s="192" t="s">
        <v>501</v>
      </c>
      <c r="J78" s="194">
        <v>213</v>
      </c>
      <c r="K78" s="211" t="s">
        <v>875</v>
      </c>
      <c r="L78" s="202"/>
      <c r="M78" s="207"/>
      <c r="N78" s="198"/>
      <c r="O78" s="199"/>
      <c r="P78" s="200" t="e">
        <f t="shared" si="16"/>
        <v>#VALUE!</v>
      </c>
      <c r="Q78" s="201"/>
      <c r="R78" s="202">
        <v>3.33</v>
      </c>
      <c r="S78" s="214"/>
      <c r="T78" s="209"/>
      <c r="U78" s="204">
        <f>(V78*1000)/G78</f>
        <v>2.4980618485657677</v>
      </c>
      <c r="V78" s="187">
        <v>0.72499999999999998</v>
      </c>
      <c r="W78" s="187">
        <f t="shared" si="12"/>
        <v>170.375</v>
      </c>
      <c r="X78" s="205">
        <v>6.45</v>
      </c>
      <c r="Y78" s="214"/>
      <c r="Z78" s="209"/>
      <c r="AA78" s="187"/>
      <c r="AB78" s="187"/>
      <c r="AC78" s="187">
        <f>5.8+4.35</f>
        <v>10.149999999999999</v>
      </c>
      <c r="AD78" s="187">
        <v>25.6</v>
      </c>
      <c r="AE78" s="187"/>
    </row>
    <row r="79" spans="1:31" ht="14.5" x14ac:dyDescent="0.35">
      <c r="A79" s="262">
        <v>45948</v>
      </c>
      <c r="B79" s="187">
        <v>8</v>
      </c>
      <c r="C79" s="188" t="s">
        <v>757</v>
      </c>
      <c r="D79" s="189">
        <v>3392.45</v>
      </c>
      <c r="E79" s="388" t="s">
        <v>758</v>
      </c>
      <c r="F79" s="390" t="s">
        <v>877</v>
      </c>
      <c r="G79" s="191">
        <f>(D79+D80)*0.65</f>
        <v>8070.1725000000015</v>
      </c>
      <c r="H79" s="192">
        <f>G79/(D79+D80)</f>
        <v>0.65</v>
      </c>
      <c r="I79" s="192"/>
      <c r="J79" s="194"/>
      <c r="K79" s="274"/>
      <c r="L79" s="202"/>
      <c r="M79" s="207"/>
      <c r="N79" s="198"/>
      <c r="O79" s="199"/>
      <c r="P79" s="200">
        <f t="shared" si="16"/>
        <v>0</v>
      </c>
      <c r="Q79" s="201"/>
      <c r="R79" s="202">
        <v>3.59</v>
      </c>
      <c r="S79" s="203">
        <v>3.55</v>
      </c>
      <c r="T79" s="209"/>
      <c r="U79" s="204">
        <f>(V79*1000)/G79</f>
        <v>4.5228277338557499</v>
      </c>
      <c r="V79" s="187">
        <f>27.3+9.2</f>
        <v>36.5</v>
      </c>
      <c r="W79" s="187">
        <f t="shared" si="12"/>
        <v>8577.5</v>
      </c>
      <c r="X79" s="205">
        <v>5.0999999999999996</v>
      </c>
      <c r="Y79" s="203">
        <v>5.55</v>
      </c>
      <c r="Z79" s="209"/>
      <c r="AA79" s="187"/>
      <c r="AB79" s="187"/>
      <c r="AC79" s="187">
        <v>182</v>
      </c>
      <c r="AD79" s="275" t="s">
        <v>878</v>
      </c>
      <c r="AE79" s="187"/>
    </row>
    <row r="80" spans="1:31" ht="14.5" x14ac:dyDescent="0.35">
      <c r="A80" s="262">
        <v>45948</v>
      </c>
      <c r="B80" s="187">
        <v>20</v>
      </c>
      <c r="C80" s="188" t="s">
        <v>879</v>
      </c>
      <c r="D80" s="189">
        <v>9023.2000000000007</v>
      </c>
      <c r="E80" s="389"/>
      <c r="F80" s="391"/>
      <c r="G80" s="191"/>
      <c r="H80" s="192"/>
      <c r="I80" s="192"/>
      <c r="J80" s="194"/>
      <c r="K80" s="274"/>
      <c r="L80" s="202"/>
      <c r="M80" s="207"/>
      <c r="N80" s="198"/>
      <c r="O80" s="199"/>
      <c r="P80" s="200"/>
      <c r="Q80" s="201"/>
      <c r="R80" s="213"/>
      <c r="S80" s="214"/>
      <c r="T80" s="209"/>
      <c r="U80" s="276"/>
      <c r="V80" s="277"/>
      <c r="W80" s="209"/>
      <c r="X80" s="216"/>
      <c r="Y80" s="214"/>
      <c r="Z80" s="209"/>
      <c r="AA80" s="187"/>
      <c r="AB80" s="187"/>
      <c r="AC80" s="187"/>
      <c r="AD80" s="187"/>
      <c r="AE80" s="187"/>
    </row>
    <row r="81" spans="1:31" ht="14.5" x14ac:dyDescent="0.35">
      <c r="A81" s="262">
        <v>45948</v>
      </c>
      <c r="B81" s="187">
        <v>29</v>
      </c>
      <c r="C81" s="188" t="s">
        <v>757</v>
      </c>
      <c r="D81" s="189">
        <v>13088.3</v>
      </c>
      <c r="E81" s="190" t="s">
        <v>761</v>
      </c>
      <c r="F81" s="190" t="s">
        <v>762</v>
      </c>
      <c r="G81" s="191">
        <v>8507</v>
      </c>
      <c r="H81" s="192">
        <f>G81/D81</f>
        <v>0.64996982037392181</v>
      </c>
      <c r="I81" s="192" t="s">
        <v>848</v>
      </c>
      <c r="J81" s="194">
        <v>7766</v>
      </c>
      <c r="K81" s="211">
        <f>J81/D81</f>
        <v>0.59335436993345203</v>
      </c>
      <c r="L81" s="202" t="s">
        <v>848</v>
      </c>
      <c r="M81" s="207">
        <f>O81-J81</f>
        <v>2379</v>
      </c>
      <c r="N81" s="198">
        <f>M81/(D81+D82)</f>
        <v>0.10411150740684011</v>
      </c>
      <c r="O81" s="199">
        <v>10145</v>
      </c>
      <c r="P81" s="200">
        <f t="shared" si="16"/>
        <v>0.6974658773402922</v>
      </c>
      <c r="Q81" s="201"/>
      <c r="R81" s="202">
        <v>3.59</v>
      </c>
      <c r="S81" s="203">
        <v>3.54</v>
      </c>
      <c r="T81" s="209"/>
      <c r="U81" s="204">
        <f>(V81*1000)/G81</f>
        <v>3.9967085929234747</v>
      </c>
      <c r="V81" s="188">
        <f>25.5+8.5</f>
        <v>34</v>
      </c>
      <c r="W81" s="187">
        <f t="shared" si="12"/>
        <v>7990</v>
      </c>
      <c r="X81" s="205">
        <v>4.95</v>
      </c>
      <c r="Y81" s="203">
        <v>5.7</v>
      </c>
      <c r="Z81" s="209"/>
      <c r="AA81" s="187"/>
      <c r="AB81" s="187"/>
      <c r="AC81" s="187">
        <v>150</v>
      </c>
      <c r="AD81" s="187" t="s">
        <v>878</v>
      </c>
      <c r="AE81" s="187"/>
    </row>
    <row r="82" spans="1:31" ht="14.5" x14ac:dyDescent="0.35">
      <c r="A82" s="262">
        <v>45953</v>
      </c>
      <c r="B82" s="187">
        <v>28</v>
      </c>
      <c r="C82" s="187" t="s">
        <v>420</v>
      </c>
      <c r="D82" s="189">
        <v>9762.2000000000007</v>
      </c>
      <c r="E82" s="390" t="s">
        <v>764</v>
      </c>
      <c r="F82" s="390" t="s">
        <v>543</v>
      </c>
      <c r="G82" s="191">
        <f>(D82+D83)*0.65</f>
        <v>6798.9350000000013</v>
      </c>
      <c r="H82" s="192">
        <f>G82/(D82+D83)</f>
        <v>0.65</v>
      </c>
      <c r="I82" s="192" t="s">
        <v>762</v>
      </c>
      <c r="J82" s="194">
        <f>16523-10336</f>
        <v>6187</v>
      </c>
      <c r="K82" s="211">
        <f>J82/(D82+D83)</f>
        <v>0.59149705064101943</v>
      </c>
      <c r="L82" s="202" t="s">
        <v>762</v>
      </c>
      <c r="M82" s="207">
        <f>O82-J82</f>
        <v>1595</v>
      </c>
      <c r="N82" s="198">
        <f>M82/(D82+D83)</f>
        <v>0.15248711746766219</v>
      </c>
      <c r="O82" s="199">
        <f>18118-10336</f>
        <v>7782</v>
      </c>
      <c r="P82" s="200">
        <f t="shared" si="16"/>
        <v>0.74398416810868162</v>
      </c>
      <c r="Q82" s="201"/>
      <c r="R82" s="202">
        <v>3.8</v>
      </c>
      <c r="S82" s="203">
        <v>3.19</v>
      </c>
      <c r="T82" s="209"/>
      <c r="U82" s="204">
        <f>(V82*1000)/G82</f>
        <v>1.8679396111302722</v>
      </c>
      <c r="V82" s="187">
        <v>12.7</v>
      </c>
      <c r="W82" s="187">
        <f t="shared" si="12"/>
        <v>2984.5</v>
      </c>
      <c r="X82" s="205">
        <v>4.05</v>
      </c>
      <c r="Y82" s="203">
        <v>7.2</v>
      </c>
      <c r="Z82" s="209"/>
      <c r="AA82" s="187"/>
      <c r="AB82" s="187"/>
      <c r="AC82" s="187"/>
      <c r="AD82" s="187"/>
      <c r="AE82" s="187"/>
    </row>
    <row r="83" spans="1:31" ht="14.5" x14ac:dyDescent="0.35">
      <c r="A83" s="262">
        <v>45954</v>
      </c>
      <c r="B83" s="187">
        <v>2</v>
      </c>
      <c r="C83" s="188" t="s">
        <v>420</v>
      </c>
      <c r="D83" s="189">
        <v>697.7</v>
      </c>
      <c r="E83" s="391"/>
      <c r="F83" s="391"/>
      <c r="G83" s="191"/>
      <c r="H83" s="192"/>
      <c r="I83" s="192"/>
      <c r="J83" s="194"/>
      <c r="K83" s="211"/>
      <c r="L83" s="202"/>
      <c r="M83" s="207"/>
      <c r="N83" s="198"/>
      <c r="O83" s="199"/>
      <c r="P83" s="200"/>
      <c r="Q83" s="201"/>
      <c r="R83" s="213"/>
      <c r="S83" s="214"/>
      <c r="T83" s="209"/>
      <c r="U83" s="215"/>
      <c r="V83" s="209"/>
      <c r="W83" s="209"/>
      <c r="X83" s="213"/>
      <c r="Y83" s="214"/>
      <c r="Z83" s="209"/>
      <c r="AA83" s="187"/>
      <c r="AB83" s="187"/>
      <c r="AC83" s="187"/>
      <c r="AD83" s="187"/>
      <c r="AE83" s="187"/>
    </row>
    <row r="84" spans="1:31" ht="14.5" x14ac:dyDescent="0.35">
      <c r="A84" s="262">
        <v>45953</v>
      </c>
      <c r="B84" s="187">
        <v>17</v>
      </c>
      <c r="C84" s="187" t="s">
        <v>420</v>
      </c>
      <c r="D84" s="189">
        <v>5927</v>
      </c>
      <c r="E84" s="190" t="s">
        <v>767</v>
      </c>
      <c r="F84" s="190" t="s">
        <v>683</v>
      </c>
      <c r="G84" s="191">
        <v>3851.55</v>
      </c>
      <c r="H84" s="192">
        <f>G84/D84</f>
        <v>0.64983128058039485</v>
      </c>
      <c r="I84" s="192" t="s">
        <v>522</v>
      </c>
      <c r="J84" s="194">
        <v>3303</v>
      </c>
      <c r="K84" s="211">
        <f>J84/D84</f>
        <v>0.55728024295596423</v>
      </c>
      <c r="L84" s="202" t="s">
        <v>522</v>
      </c>
      <c r="M84" s="207">
        <f>O84-J84</f>
        <v>1234</v>
      </c>
      <c r="N84" s="198">
        <f>M84/(D84+D85)</f>
        <v>0.11070243114739392</v>
      </c>
      <c r="O84" s="199">
        <v>4537</v>
      </c>
      <c r="P84" s="200">
        <f t="shared" si="16"/>
        <v>0.6679826741033581</v>
      </c>
      <c r="Q84" s="201"/>
      <c r="R84" s="202">
        <v>4.1399999999999997</v>
      </c>
      <c r="S84" s="203">
        <v>3.38</v>
      </c>
      <c r="T84" s="209"/>
      <c r="U84" s="233">
        <f t="shared" ref="U84:U92" si="18">(V84*1000)/G84</f>
        <v>3.9983902584673703</v>
      </c>
      <c r="V84" s="187">
        <v>15.4</v>
      </c>
      <c r="W84" s="187">
        <f t="shared" si="12"/>
        <v>3619</v>
      </c>
      <c r="X84" s="202">
        <v>2.7</v>
      </c>
      <c r="Y84" s="203">
        <v>5.85</v>
      </c>
      <c r="Z84" s="209"/>
      <c r="AA84" s="187"/>
      <c r="AB84" s="187"/>
      <c r="AC84" s="187"/>
      <c r="AD84" s="187"/>
      <c r="AE84" s="187"/>
    </row>
    <row r="85" spans="1:31" ht="14.5" x14ac:dyDescent="0.35">
      <c r="A85" s="262">
        <v>45954</v>
      </c>
      <c r="B85" s="187">
        <v>15</v>
      </c>
      <c r="C85" s="188" t="s">
        <v>420</v>
      </c>
      <c r="D85" s="189">
        <v>5220</v>
      </c>
      <c r="E85" s="190" t="s">
        <v>769</v>
      </c>
      <c r="F85" s="190" t="s">
        <v>688</v>
      </c>
      <c r="G85" s="191">
        <f>D85*0.65</f>
        <v>3393</v>
      </c>
      <c r="H85" s="192">
        <v>0.65</v>
      </c>
      <c r="I85" s="192" t="s">
        <v>762</v>
      </c>
      <c r="J85" s="194">
        <v>3142</v>
      </c>
      <c r="K85" s="211">
        <f>J85/D85</f>
        <v>0.60191570881226053</v>
      </c>
      <c r="L85" s="202" t="s">
        <v>762</v>
      </c>
      <c r="M85" s="207"/>
      <c r="N85" s="198"/>
      <c r="O85" s="199"/>
      <c r="P85" s="200"/>
      <c r="Q85" s="201"/>
      <c r="R85" s="202">
        <v>4.01</v>
      </c>
      <c r="S85" s="203">
        <v>3.29</v>
      </c>
      <c r="T85" s="209"/>
      <c r="U85" s="233">
        <f t="shared" si="18"/>
        <v>4.0082522841143531</v>
      </c>
      <c r="V85" s="187">
        <v>13.6</v>
      </c>
      <c r="W85" s="187">
        <f t="shared" si="12"/>
        <v>3196</v>
      </c>
      <c r="X85" s="202">
        <v>3.15</v>
      </c>
      <c r="Y85" s="203">
        <v>6</v>
      </c>
      <c r="Z85" s="209"/>
      <c r="AA85" s="187"/>
      <c r="AB85" s="187"/>
      <c r="AC85" s="187"/>
      <c r="AD85" s="187"/>
      <c r="AE85" s="187"/>
    </row>
    <row r="86" spans="1:31" ht="14.5" x14ac:dyDescent="0.35">
      <c r="A86" s="262">
        <v>45954</v>
      </c>
      <c r="B86" s="187">
        <v>30</v>
      </c>
      <c r="C86" s="188" t="s">
        <v>420</v>
      </c>
      <c r="D86" s="189">
        <v>10788</v>
      </c>
      <c r="E86" s="190" t="s">
        <v>771</v>
      </c>
      <c r="F86" s="190" t="s">
        <v>575</v>
      </c>
      <c r="G86" s="191">
        <f>D86*0.65</f>
        <v>7012.2</v>
      </c>
      <c r="H86" s="192">
        <f>G86/D86</f>
        <v>0.65</v>
      </c>
      <c r="I86" s="192" t="s">
        <v>762</v>
      </c>
      <c r="J86" s="194">
        <v>5909</v>
      </c>
      <c r="K86" s="211">
        <f>J86/D86</f>
        <v>0.5477382276603634</v>
      </c>
      <c r="L86" s="202" t="s">
        <v>762</v>
      </c>
      <c r="M86" s="207"/>
      <c r="N86" s="198"/>
      <c r="O86" s="199"/>
      <c r="P86" s="200"/>
      <c r="Q86" s="201"/>
      <c r="R86" s="202">
        <v>3.89</v>
      </c>
      <c r="S86" s="203">
        <v>3.6</v>
      </c>
      <c r="T86" s="209"/>
      <c r="U86" s="233">
        <f t="shared" si="18"/>
        <v>2.9092153675023531</v>
      </c>
      <c r="V86" s="187">
        <v>20.399999999999999</v>
      </c>
      <c r="W86" s="187">
        <f t="shared" si="12"/>
        <v>4794</v>
      </c>
      <c r="X86" s="202">
        <v>3.45</v>
      </c>
      <c r="Y86" s="203">
        <v>5.25</v>
      </c>
      <c r="Z86" s="209"/>
      <c r="AA86" s="187"/>
      <c r="AB86" s="187"/>
      <c r="AC86" s="187"/>
      <c r="AD86" s="187"/>
      <c r="AE86" s="187"/>
    </row>
    <row r="87" spans="1:31" ht="14.5" x14ac:dyDescent="0.35">
      <c r="A87" s="262">
        <v>45960</v>
      </c>
      <c r="B87" s="187">
        <v>27</v>
      </c>
      <c r="C87" s="187" t="s">
        <v>257</v>
      </c>
      <c r="D87" s="189">
        <v>12059.82</v>
      </c>
      <c r="E87" s="190" t="s">
        <v>773</v>
      </c>
      <c r="F87" s="190" t="s">
        <v>495</v>
      </c>
      <c r="G87" s="191">
        <f>D87*0.65</f>
        <v>7838.8829999999998</v>
      </c>
      <c r="H87" s="192">
        <f t="shared" ref="H87:H90" si="19">G87/D87</f>
        <v>0.65</v>
      </c>
      <c r="I87" s="192" t="s">
        <v>683</v>
      </c>
      <c r="J87" s="194">
        <v>6305</v>
      </c>
      <c r="K87" s="211">
        <f>J87/D87</f>
        <v>0.52281045654081071</v>
      </c>
      <c r="L87" s="398" t="s">
        <v>880</v>
      </c>
      <c r="M87" s="399"/>
      <c r="N87" s="399"/>
      <c r="O87" s="400"/>
      <c r="P87" s="200"/>
      <c r="Q87" s="201"/>
      <c r="R87" s="202">
        <v>3.69</v>
      </c>
      <c r="S87" s="203">
        <v>3.63</v>
      </c>
      <c r="T87" s="187">
        <v>3.13</v>
      </c>
      <c r="U87" s="233">
        <f t="shared" si="18"/>
        <v>3.99801859525139</v>
      </c>
      <c r="V87" s="187">
        <f>15.68+11.75+3.91</f>
        <v>31.34</v>
      </c>
      <c r="W87" s="187">
        <f t="shared" si="12"/>
        <v>7364.9</v>
      </c>
      <c r="X87" s="202">
        <v>4.95</v>
      </c>
      <c r="Y87" s="203">
        <v>5.0999999999999996</v>
      </c>
      <c r="Z87" s="187">
        <v>8.5500000000000007</v>
      </c>
      <c r="AA87" s="187"/>
      <c r="AB87" s="187"/>
      <c r="AC87" s="187"/>
      <c r="AD87" s="187">
        <v>24</v>
      </c>
      <c r="AE87" s="187"/>
    </row>
    <row r="88" spans="1:31" ht="14.5" x14ac:dyDescent="0.35">
      <c r="A88" s="262">
        <v>45960</v>
      </c>
      <c r="B88" s="187">
        <v>18</v>
      </c>
      <c r="C88" s="187" t="s">
        <v>257</v>
      </c>
      <c r="D88" s="189">
        <v>8039.88</v>
      </c>
      <c r="E88" s="190" t="s">
        <v>775</v>
      </c>
      <c r="F88" s="190" t="s">
        <v>464</v>
      </c>
      <c r="G88" s="191">
        <f>D88*0.65</f>
        <v>5225.9220000000005</v>
      </c>
      <c r="H88" s="192">
        <f t="shared" si="19"/>
        <v>0.65</v>
      </c>
      <c r="I88" s="192" t="s">
        <v>508</v>
      </c>
      <c r="J88" s="194">
        <v>4320</v>
      </c>
      <c r="K88" s="211">
        <f>J88/D88</f>
        <v>0.53732145255899344</v>
      </c>
      <c r="L88" s="398" t="s">
        <v>880</v>
      </c>
      <c r="M88" s="399"/>
      <c r="N88" s="399"/>
      <c r="O88" s="400"/>
      <c r="P88" s="200"/>
      <c r="Q88" s="201"/>
      <c r="R88" s="202">
        <v>3.97</v>
      </c>
      <c r="S88" s="203">
        <v>3.05</v>
      </c>
      <c r="T88" s="187">
        <v>3.67</v>
      </c>
      <c r="U88" s="233">
        <f t="shared" si="18"/>
        <v>2.0092148332868343</v>
      </c>
      <c r="V88" s="278">
        <v>10.5</v>
      </c>
      <c r="W88" s="187">
        <f t="shared" si="12"/>
        <v>2467.5</v>
      </c>
      <c r="X88" s="205">
        <v>3.75</v>
      </c>
      <c r="Y88" s="203">
        <v>8.85</v>
      </c>
      <c r="Z88" s="187">
        <v>5.4</v>
      </c>
      <c r="AA88" s="187"/>
      <c r="AB88" s="187"/>
      <c r="AC88" s="187"/>
      <c r="AD88" s="187">
        <v>24.6</v>
      </c>
      <c r="AE88" s="187"/>
    </row>
    <row r="89" spans="1:31" ht="14.5" x14ac:dyDescent="0.35">
      <c r="A89" s="262">
        <v>45966</v>
      </c>
      <c r="B89" s="187">
        <v>20</v>
      </c>
      <c r="C89" s="187" t="s">
        <v>257</v>
      </c>
      <c r="D89" s="189">
        <v>8762</v>
      </c>
      <c r="E89" s="190" t="s">
        <v>777</v>
      </c>
      <c r="F89" s="190" t="s">
        <v>459</v>
      </c>
      <c r="G89" s="191">
        <f>D89*0.65</f>
        <v>5695.3</v>
      </c>
      <c r="H89" s="192">
        <f t="shared" si="19"/>
        <v>0.65</v>
      </c>
      <c r="I89" s="192" t="s">
        <v>508</v>
      </c>
      <c r="J89" s="194"/>
      <c r="K89" s="211"/>
      <c r="L89" s="202"/>
      <c r="M89" s="207"/>
      <c r="N89" s="198"/>
      <c r="O89" s="199"/>
      <c r="P89" s="200"/>
      <c r="Q89" s="201"/>
      <c r="R89" s="202">
        <v>4.29</v>
      </c>
      <c r="S89" s="203">
        <v>3.5</v>
      </c>
      <c r="T89" s="209"/>
      <c r="U89" s="233">
        <f t="shared" si="18"/>
        <v>3.9997892999490805</v>
      </c>
      <c r="V89" s="187">
        <v>22.78</v>
      </c>
      <c r="W89" s="187">
        <f t="shared" si="12"/>
        <v>5353.3</v>
      </c>
      <c r="X89" s="205">
        <v>2.7</v>
      </c>
      <c r="Y89" s="203">
        <v>5.4</v>
      </c>
      <c r="Z89" s="209"/>
      <c r="AA89" s="187"/>
      <c r="AB89" s="187"/>
      <c r="AC89" s="187"/>
      <c r="AD89" s="187"/>
      <c r="AE89" s="187"/>
    </row>
    <row r="90" spans="1:31" ht="14.5" x14ac:dyDescent="0.35">
      <c r="A90" s="401">
        <v>45966</v>
      </c>
      <c r="B90" s="403">
        <v>3</v>
      </c>
      <c r="C90" s="403" t="s">
        <v>881</v>
      </c>
      <c r="D90" s="405">
        <v>1124.5</v>
      </c>
      <c r="E90" s="190" t="s">
        <v>780</v>
      </c>
      <c r="F90" s="190" t="s">
        <v>528</v>
      </c>
      <c r="G90" s="191">
        <v>517</v>
      </c>
      <c r="H90" s="192">
        <f t="shared" si="19"/>
        <v>0.45975989328590483</v>
      </c>
      <c r="I90" s="192"/>
      <c r="J90" s="194"/>
      <c r="K90" s="211"/>
      <c r="L90" s="202"/>
      <c r="M90" s="207"/>
      <c r="N90" s="198"/>
      <c r="O90" s="199"/>
      <c r="P90" s="200"/>
      <c r="Q90" s="201"/>
      <c r="R90" s="202">
        <v>4.16</v>
      </c>
      <c r="S90" s="203">
        <v>3.8</v>
      </c>
      <c r="T90" s="209"/>
      <c r="U90" s="233">
        <f t="shared" si="18"/>
        <v>3.9845261121856868</v>
      </c>
      <c r="V90" s="187">
        <v>2.06</v>
      </c>
      <c r="W90" s="187">
        <f t="shared" si="12"/>
        <v>484.1</v>
      </c>
      <c r="X90" s="205">
        <v>2.7</v>
      </c>
      <c r="Y90" s="203">
        <v>4.6500000000000004</v>
      </c>
      <c r="Z90" s="209"/>
      <c r="AA90" s="187"/>
      <c r="AB90" s="187"/>
      <c r="AC90" s="187"/>
      <c r="AD90" s="187"/>
      <c r="AE90" s="187"/>
    </row>
    <row r="91" spans="1:31" ht="14.5" x14ac:dyDescent="0.35">
      <c r="A91" s="402"/>
      <c r="B91" s="404"/>
      <c r="C91" s="404"/>
      <c r="D91" s="406"/>
      <c r="E91" s="190" t="s">
        <v>782</v>
      </c>
      <c r="F91" s="190" t="s">
        <v>528</v>
      </c>
      <c r="G91" s="191">
        <v>555</v>
      </c>
      <c r="H91" s="192">
        <f>G91/D90</f>
        <v>0.49355269008448199</v>
      </c>
      <c r="I91" s="192"/>
      <c r="J91" s="194"/>
      <c r="K91" s="211"/>
      <c r="L91" s="202"/>
      <c r="M91" s="207"/>
      <c r="N91" s="198"/>
      <c r="O91" s="199"/>
      <c r="P91" s="200"/>
      <c r="Q91" s="201"/>
      <c r="R91" s="202">
        <v>4.1399999999999997</v>
      </c>
      <c r="S91" s="203">
        <v>3.71</v>
      </c>
      <c r="T91" s="209"/>
      <c r="U91" s="233">
        <f t="shared" si="18"/>
        <v>3.9639639639639639</v>
      </c>
      <c r="V91" s="187">
        <v>2.2000000000000002</v>
      </c>
      <c r="W91" s="187">
        <f t="shared" si="12"/>
        <v>517</v>
      </c>
      <c r="X91" s="205">
        <v>2.85</v>
      </c>
      <c r="Y91" s="203">
        <v>4.95</v>
      </c>
      <c r="Z91" s="209"/>
      <c r="AA91" s="187"/>
      <c r="AB91" s="187"/>
      <c r="AC91" s="187"/>
      <c r="AD91" s="187"/>
      <c r="AE91" s="187"/>
    </row>
    <row r="92" spans="1:31" ht="14.5" x14ac:dyDescent="0.35">
      <c r="A92" s="262">
        <v>45967</v>
      </c>
      <c r="B92" s="187">
        <v>13</v>
      </c>
      <c r="C92" s="187" t="s">
        <v>424</v>
      </c>
      <c r="D92" s="189">
        <v>5750</v>
      </c>
      <c r="E92" s="388" t="s">
        <v>784</v>
      </c>
      <c r="F92" s="390" t="s">
        <v>543</v>
      </c>
      <c r="G92" s="392">
        <f>(D92+D93)*0.65</f>
        <v>6300.45</v>
      </c>
      <c r="H92" s="192">
        <f>G92/(D92+D93)</f>
        <v>0.65</v>
      </c>
      <c r="I92" s="192" t="s">
        <v>464</v>
      </c>
      <c r="J92" s="194">
        <v>5183</v>
      </c>
      <c r="K92" s="211">
        <f>J92/(D92+D93+D94+D95)</f>
        <v>0.47656264366759221</v>
      </c>
      <c r="L92" s="202" t="s">
        <v>464</v>
      </c>
      <c r="M92" s="207">
        <f>O92-J92</f>
        <v>2267</v>
      </c>
      <c r="N92" s="198">
        <f>M92/(D92+D93+D94+D95)</f>
        <v>0.20844443627135473</v>
      </c>
      <c r="O92" s="199">
        <v>7450</v>
      </c>
      <c r="P92" s="200">
        <f>O92/(D92+D93+D94+D95)</f>
        <v>0.68500707993894694</v>
      </c>
      <c r="Q92" s="201"/>
      <c r="R92" s="202">
        <v>3.08</v>
      </c>
      <c r="S92" s="214"/>
      <c r="T92" s="209"/>
      <c r="U92" s="233">
        <f t="shared" si="18"/>
        <v>3.9997143061209917</v>
      </c>
      <c r="V92" s="187">
        <v>25.2</v>
      </c>
      <c r="W92" s="187">
        <f t="shared" si="12"/>
        <v>5922</v>
      </c>
      <c r="X92" s="205">
        <v>8.1</v>
      </c>
      <c r="Y92" s="203"/>
      <c r="Z92" s="209"/>
      <c r="AA92" s="187"/>
      <c r="AB92" s="187"/>
      <c r="AC92" s="187"/>
      <c r="AD92" s="187"/>
      <c r="AE92" s="187"/>
    </row>
    <row r="93" spans="1:31" ht="14.5" x14ac:dyDescent="0.35">
      <c r="A93" s="262">
        <v>45967</v>
      </c>
      <c r="B93" s="187">
        <v>9</v>
      </c>
      <c r="C93" s="187" t="s">
        <v>257</v>
      </c>
      <c r="D93" s="189">
        <v>3943</v>
      </c>
      <c r="E93" s="389"/>
      <c r="F93" s="391"/>
      <c r="G93" s="393"/>
      <c r="H93" s="192"/>
      <c r="I93" s="192"/>
      <c r="J93" s="194"/>
      <c r="K93" s="211"/>
      <c r="L93" s="202"/>
      <c r="M93" s="207"/>
      <c r="N93" s="198"/>
      <c r="O93" s="199"/>
      <c r="P93" s="200"/>
      <c r="Q93" s="201"/>
      <c r="R93" s="213"/>
      <c r="S93" s="214"/>
      <c r="T93" s="209"/>
      <c r="U93" s="215"/>
      <c r="V93" s="209"/>
      <c r="W93" s="209"/>
      <c r="X93" s="216"/>
      <c r="Y93" s="214"/>
      <c r="Z93" s="209"/>
      <c r="AA93" s="187"/>
      <c r="AB93" s="187"/>
      <c r="AC93" s="187"/>
      <c r="AD93" s="187"/>
      <c r="AE93" s="187"/>
    </row>
    <row r="94" spans="1:31" ht="14.5" x14ac:dyDescent="0.35">
      <c r="A94" s="262">
        <v>45969</v>
      </c>
      <c r="B94" s="187">
        <v>2</v>
      </c>
      <c r="C94" s="187" t="s">
        <v>257</v>
      </c>
      <c r="D94" s="189">
        <v>788.2</v>
      </c>
      <c r="E94" s="190" t="s">
        <v>787</v>
      </c>
      <c r="F94" s="190" t="s">
        <v>528</v>
      </c>
      <c r="G94" s="191">
        <v>421.5</v>
      </c>
      <c r="H94" s="192"/>
      <c r="I94" s="192"/>
      <c r="J94" s="194"/>
      <c r="K94" s="211"/>
      <c r="L94" s="202"/>
      <c r="M94" s="207"/>
      <c r="N94" s="198"/>
      <c r="O94" s="199"/>
      <c r="P94" s="200"/>
      <c r="Q94" s="201"/>
      <c r="R94" s="202">
        <v>4.1399999999999997</v>
      </c>
      <c r="S94" s="203">
        <v>3.44</v>
      </c>
      <c r="T94" s="209"/>
      <c r="U94" s="233">
        <f>(V94*1000)/G94</f>
        <v>3.9857651245551602</v>
      </c>
      <c r="V94" s="187">
        <v>1.68</v>
      </c>
      <c r="W94" s="187">
        <f t="shared" si="12"/>
        <v>394.8</v>
      </c>
      <c r="X94" s="205">
        <v>4.5</v>
      </c>
      <c r="Y94" s="203">
        <v>7.2</v>
      </c>
      <c r="Z94" s="209"/>
      <c r="AA94" s="187"/>
      <c r="AB94" s="187"/>
      <c r="AC94" s="187"/>
      <c r="AD94" s="187"/>
      <c r="AE94" s="187"/>
    </row>
    <row r="95" spans="1:31" ht="14.5" x14ac:dyDescent="0.35">
      <c r="A95" s="262">
        <v>45969</v>
      </c>
      <c r="B95" s="187">
        <v>1</v>
      </c>
      <c r="C95" s="187" t="s">
        <v>424</v>
      </c>
      <c r="D95" s="189">
        <v>394.6</v>
      </c>
      <c r="E95" s="190" t="s">
        <v>789</v>
      </c>
      <c r="F95" s="190" t="s">
        <v>528</v>
      </c>
      <c r="G95" s="191">
        <v>421.5</v>
      </c>
      <c r="H95" s="192"/>
      <c r="I95" s="192"/>
      <c r="J95" s="194"/>
      <c r="K95" s="211"/>
      <c r="L95" s="202"/>
      <c r="M95" s="207"/>
      <c r="N95" s="198"/>
      <c r="O95" s="199"/>
      <c r="P95" s="200"/>
      <c r="Q95" s="201"/>
      <c r="R95" s="202">
        <v>4.37</v>
      </c>
      <c r="S95" s="203">
        <v>3.23</v>
      </c>
      <c r="T95" s="209"/>
      <c r="U95" s="233">
        <f>(V95*1000)/G95</f>
        <v>3.9857651245551602</v>
      </c>
      <c r="V95" s="187">
        <v>1.68</v>
      </c>
      <c r="W95" s="187">
        <f t="shared" si="12"/>
        <v>394.8</v>
      </c>
      <c r="X95" s="205">
        <v>3.75</v>
      </c>
      <c r="Y95" s="203">
        <v>8.1</v>
      </c>
      <c r="Z95" s="209"/>
      <c r="AA95" s="187"/>
      <c r="AB95" s="187"/>
      <c r="AC95" s="187"/>
      <c r="AD95" s="187"/>
      <c r="AE95" s="187"/>
    </row>
    <row r="96" spans="1:31" ht="14.5" x14ac:dyDescent="0.35">
      <c r="A96" s="262"/>
      <c r="B96" s="187"/>
      <c r="C96" s="187"/>
      <c r="D96" s="189"/>
      <c r="E96" s="190" t="s">
        <v>792</v>
      </c>
      <c r="F96" s="190" t="s">
        <v>528</v>
      </c>
      <c r="G96" s="191">
        <v>277.5</v>
      </c>
      <c r="H96" s="192"/>
      <c r="I96" s="192"/>
      <c r="J96" s="194"/>
      <c r="K96" s="211"/>
      <c r="L96" s="202"/>
      <c r="M96" s="207"/>
      <c r="N96" s="198"/>
      <c r="O96" s="199"/>
      <c r="P96" s="200"/>
      <c r="Q96" s="201"/>
      <c r="R96" s="202">
        <v>4.13</v>
      </c>
      <c r="S96" s="203">
        <v>3.26</v>
      </c>
      <c r="T96" s="209"/>
      <c r="U96" s="233">
        <f>(V96*1000)/G96</f>
        <v>4</v>
      </c>
      <c r="V96" s="187">
        <v>1.1100000000000001</v>
      </c>
      <c r="W96" s="187">
        <f t="shared" si="12"/>
        <v>260.85000000000002</v>
      </c>
      <c r="X96" s="205">
        <v>4.5</v>
      </c>
      <c r="Y96" s="203">
        <v>7.8</v>
      </c>
      <c r="Z96" s="209"/>
      <c r="AA96" s="187"/>
      <c r="AB96" s="187"/>
      <c r="AC96" s="187"/>
      <c r="AD96" s="187"/>
      <c r="AE96" s="187"/>
    </row>
    <row r="97" spans="1:31" ht="14.5" x14ac:dyDescent="0.35">
      <c r="A97" s="262"/>
      <c r="B97" s="187"/>
      <c r="C97" s="187"/>
      <c r="D97" s="189"/>
      <c r="E97" s="190"/>
      <c r="F97" s="190"/>
      <c r="G97" s="191"/>
      <c r="H97" s="192"/>
      <c r="I97" s="192"/>
      <c r="J97" s="194"/>
      <c r="K97" s="211"/>
      <c r="L97" s="202"/>
      <c r="M97" s="207"/>
      <c r="N97" s="198"/>
      <c r="O97" s="199"/>
      <c r="P97" s="200"/>
      <c r="Q97" s="201"/>
      <c r="R97" s="202"/>
      <c r="S97" s="203"/>
      <c r="T97" s="187"/>
      <c r="U97" s="204"/>
      <c r="V97" s="187"/>
      <c r="W97" s="187"/>
      <c r="X97" s="205"/>
      <c r="Y97" s="203"/>
      <c r="Z97" s="187"/>
      <c r="AA97" s="187"/>
      <c r="AB97" s="187"/>
      <c r="AC97" s="187"/>
      <c r="AD97" s="187"/>
      <c r="AE97" s="187"/>
    </row>
    <row r="98" spans="1:31" ht="14.5" x14ac:dyDescent="0.35">
      <c r="A98" s="262"/>
      <c r="B98" s="187"/>
      <c r="C98" s="187"/>
      <c r="D98" s="189"/>
      <c r="E98" s="190"/>
      <c r="F98" s="190"/>
      <c r="G98" s="191"/>
      <c r="H98" s="192"/>
      <c r="I98" s="192"/>
      <c r="J98" s="194"/>
      <c r="K98" s="211"/>
      <c r="L98" s="202"/>
      <c r="M98" s="207"/>
      <c r="N98" s="198"/>
      <c r="O98" s="199"/>
      <c r="P98" s="200"/>
      <c r="Q98" s="201"/>
      <c r="R98" s="202"/>
      <c r="S98" s="203"/>
      <c r="T98" s="187"/>
      <c r="U98" s="204"/>
      <c r="V98" s="187"/>
      <c r="W98" s="187"/>
      <c r="X98" s="205"/>
      <c r="Y98" s="203"/>
      <c r="Z98" s="187"/>
      <c r="AA98" s="187"/>
      <c r="AB98" s="187"/>
      <c r="AC98" s="187"/>
      <c r="AD98" s="187"/>
      <c r="AE98" s="187"/>
    </row>
    <row r="99" spans="1:31" ht="14.5" x14ac:dyDescent="0.35">
      <c r="A99" s="262"/>
      <c r="B99" s="187"/>
      <c r="C99" s="187"/>
      <c r="D99" s="189"/>
      <c r="E99" s="190"/>
      <c r="F99" s="190"/>
      <c r="G99" s="191"/>
      <c r="H99" s="192"/>
      <c r="I99" s="192"/>
      <c r="J99" s="194"/>
      <c r="K99" s="211"/>
      <c r="L99" s="202"/>
      <c r="M99" s="207"/>
      <c r="N99" s="198"/>
      <c r="O99" s="199"/>
      <c r="P99" s="200"/>
      <c r="Q99" s="201"/>
      <c r="R99" s="202"/>
      <c r="S99" s="203"/>
      <c r="T99" s="187"/>
      <c r="U99" s="204"/>
      <c r="V99" s="187"/>
      <c r="W99" s="187"/>
      <c r="X99" s="205"/>
      <c r="Y99" s="203"/>
      <c r="Z99" s="187"/>
      <c r="AA99" s="187"/>
      <c r="AB99" s="187"/>
      <c r="AC99" s="187"/>
      <c r="AD99" s="187"/>
      <c r="AE99" s="187"/>
    </row>
    <row r="100" spans="1:31" ht="14.5" x14ac:dyDescent="0.35">
      <c r="A100" s="262"/>
      <c r="B100" s="187"/>
      <c r="C100" s="187"/>
      <c r="D100" s="189"/>
      <c r="E100" s="190"/>
      <c r="F100" s="190"/>
      <c r="G100" s="191"/>
      <c r="H100" s="192"/>
      <c r="I100" s="192"/>
      <c r="J100" s="194"/>
      <c r="K100" s="211"/>
      <c r="L100" s="202"/>
      <c r="M100" s="207"/>
      <c r="N100" s="198"/>
      <c r="O100" s="199"/>
      <c r="P100" s="200"/>
      <c r="Q100" s="201"/>
      <c r="R100" s="202"/>
      <c r="S100" s="203"/>
      <c r="T100" s="187"/>
      <c r="U100" s="204"/>
      <c r="V100" s="187"/>
      <c r="W100" s="187"/>
      <c r="X100" s="205"/>
      <c r="Y100" s="203"/>
      <c r="Z100" s="187"/>
      <c r="AA100" s="187"/>
      <c r="AB100" s="187"/>
      <c r="AC100" s="187"/>
      <c r="AD100" s="187"/>
      <c r="AE100" s="187"/>
    </row>
    <row r="101" spans="1:31" ht="14.5" x14ac:dyDescent="0.35">
      <c r="A101" s="262"/>
      <c r="B101" s="187"/>
      <c r="C101" s="187"/>
      <c r="D101" s="189"/>
      <c r="E101" s="190"/>
      <c r="F101" s="190"/>
      <c r="G101" s="191"/>
      <c r="H101" s="192"/>
      <c r="I101" s="192"/>
      <c r="J101" s="194"/>
      <c r="K101" s="211"/>
      <c r="L101" s="202"/>
      <c r="M101" s="207"/>
      <c r="N101" s="198"/>
      <c r="O101" s="199"/>
      <c r="P101" s="200"/>
      <c r="Q101" s="201"/>
      <c r="R101" s="202"/>
      <c r="S101" s="203"/>
      <c r="T101" s="187"/>
      <c r="U101" s="204"/>
      <c r="V101" s="187"/>
      <c r="W101" s="187"/>
      <c r="X101" s="205"/>
      <c r="Y101" s="203"/>
      <c r="Z101" s="187"/>
      <c r="AA101" s="187"/>
      <c r="AB101" s="187"/>
      <c r="AC101" s="187"/>
      <c r="AD101" s="187"/>
      <c r="AE101" s="187"/>
    </row>
    <row r="102" spans="1:31" ht="14.5" x14ac:dyDescent="0.35">
      <c r="A102" s="262"/>
      <c r="B102" s="187"/>
      <c r="C102" s="187"/>
      <c r="D102" s="189"/>
      <c r="E102" s="190"/>
      <c r="F102" s="190"/>
      <c r="G102" s="191"/>
      <c r="H102" s="192"/>
      <c r="I102" s="192"/>
      <c r="J102" s="194"/>
      <c r="K102" s="211"/>
      <c r="L102" s="202"/>
      <c r="M102" s="207"/>
      <c r="N102" s="198"/>
      <c r="O102" s="199"/>
      <c r="P102" s="200"/>
      <c r="Q102" s="201"/>
      <c r="R102" s="202"/>
      <c r="S102" s="203"/>
      <c r="T102" s="187"/>
      <c r="U102" s="204"/>
      <c r="V102" s="187"/>
      <c r="W102" s="187"/>
      <c r="X102" s="205"/>
      <c r="Y102" s="203"/>
      <c r="Z102" s="187"/>
      <c r="AA102" s="187"/>
      <c r="AB102" s="187"/>
      <c r="AC102" s="187"/>
      <c r="AD102" s="187"/>
      <c r="AE102" s="187"/>
    </row>
    <row r="103" spans="1:31" ht="14.5" x14ac:dyDescent="0.35">
      <c r="A103" s="262"/>
      <c r="B103" s="187"/>
      <c r="C103" s="187"/>
      <c r="D103" s="189"/>
      <c r="E103" s="190"/>
      <c r="F103" s="190"/>
      <c r="G103" s="191"/>
      <c r="H103" s="192"/>
      <c r="I103" s="192"/>
      <c r="J103" s="194"/>
      <c r="K103" s="211"/>
      <c r="L103" s="202"/>
      <c r="M103" s="207"/>
      <c r="N103" s="198"/>
      <c r="O103" s="199"/>
      <c r="P103" s="200"/>
      <c r="Q103" s="201"/>
      <c r="R103" s="202"/>
      <c r="S103" s="203"/>
      <c r="T103" s="187"/>
      <c r="U103" s="204"/>
      <c r="V103" s="187"/>
      <c r="W103" s="187"/>
      <c r="X103" s="205"/>
      <c r="Y103" s="203"/>
      <c r="Z103" s="187"/>
      <c r="AA103" s="187"/>
      <c r="AB103" s="187"/>
      <c r="AC103" s="187"/>
      <c r="AD103" s="187"/>
      <c r="AE103" s="187"/>
    </row>
    <row r="104" spans="1:31" ht="14.5" x14ac:dyDescent="0.35">
      <c r="A104" s="262"/>
      <c r="B104" s="187"/>
      <c r="C104" s="187"/>
      <c r="D104" s="189"/>
      <c r="E104" s="190"/>
      <c r="F104" s="190"/>
      <c r="G104" s="191"/>
      <c r="H104" s="192"/>
      <c r="I104" s="192"/>
      <c r="J104" s="194"/>
      <c r="K104" s="211"/>
      <c r="L104" s="202"/>
      <c r="M104" s="207"/>
      <c r="N104" s="198"/>
      <c r="O104" s="199"/>
      <c r="P104" s="200"/>
      <c r="Q104" s="201"/>
      <c r="R104" s="202"/>
      <c r="S104" s="203"/>
      <c r="T104" s="187"/>
      <c r="U104" s="204"/>
      <c r="V104" s="187"/>
      <c r="W104" s="187"/>
      <c r="X104" s="205"/>
      <c r="Y104" s="203"/>
      <c r="Z104" s="187"/>
      <c r="AA104" s="187"/>
      <c r="AB104" s="187"/>
      <c r="AC104" s="187"/>
      <c r="AD104" s="187"/>
      <c r="AE104" s="187"/>
    </row>
    <row r="105" spans="1:31" ht="14.5" x14ac:dyDescent="0.35">
      <c r="A105" s="262"/>
      <c r="B105" s="187"/>
      <c r="C105" s="187"/>
      <c r="D105" s="189"/>
      <c r="E105" s="190"/>
      <c r="F105" s="190"/>
      <c r="G105" s="191"/>
      <c r="H105" s="192"/>
      <c r="I105" s="192"/>
      <c r="J105" s="194"/>
      <c r="K105" s="211"/>
      <c r="L105" s="202"/>
      <c r="M105" s="207"/>
      <c r="N105" s="198"/>
      <c r="O105" s="199"/>
      <c r="P105" s="200"/>
      <c r="Q105" s="201"/>
      <c r="R105" s="202"/>
      <c r="S105" s="203"/>
      <c r="T105" s="187"/>
      <c r="U105" s="204"/>
      <c r="V105" s="187"/>
      <c r="W105" s="187"/>
      <c r="X105" s="205"/>
      <c r="Y105" s="203"/>
      <c r="Z105" s="187"/>
      <c r="AA105" s="187"/>
      <c r="AB105" s="187"/>
      <c r="AC105" s="187"/>
      <c r="AD105" s="187"/>
      <c r="AE105" s="187"/>
    </row>
    <row r="106" spans="1:31" ht="14.5" x14ac:dyDescent="0.35">
      <c r="A106" s="262"/>
      <c r="B106" s="187"/>
      <c r="C106" s="187"/>
      <c r="D106" s="189"/>
      <c r="E106" s="190"/>
      <c r="F106" s="190"/>
      <c r="G106" s="191"/>
      <c r="H106" s="192"/>
      <c r="I106" s="192"/>
      <c r="J106" s="194"/>
      <c r="K106" s="211"/>
      <c r="L106" s="202"/>
      <c r="M106" s="207"/>
      <c r="N106" s="198"/>
      <c r="O106" s="199"/>
      <c r="P106" s="200"/>
      <c r="Q106" s="201"/>
      <c r="R106" s="202"/>
      <c r="S106" s="203"/>
      <c r="T106" s="187"/>
      <c r="U106" s="204"/>
      <c r="V106" s="187"/>
      <c r="W106" s="187"/>
      <c r="X106" s="205"/>
      <c r="Y106" s="203"/>
      <c r="Z106" s="187"/>
      <c r="AA106" s="187"/>
      <c r="AB106" s="187"/>
      <c r="AC106" s="187"/>
      <c r="AD106" s="187"/>
      <c r="AE106" s="187"/>
    </row>
    <row r="107" spans="1:31" ht="14.5" x14ac:dyDescent="0.35">
      <c r="A107" s="262"/>
      <c r="B107" s="187"/>
      <c r="C107" s="187"/>
      <c r="D107" s="189"/>
      <c r="E107" s="190"/>
      <c r="F107" s="190"/>
      <c r="G107" s="191"/>
      <c r="H107" s="192"/>
      <c r="I107" s="192"/>
      <c r="J107" s="194"/>
      <c r="K107" s="211"/>
      <c r="L107" s="202"/>
      <c r="M107" s="207"/>
      <c r="N107" s="198"/>
      <c r="O107" s="199"/>
      <c r="P107" s="200"/>
      <c r="Q107" s="201"/>
      <c r="R107" s="202"/>
      <c r="S107" s="203"/>
      <c r="T107" s="187"/>
      <c r="U107" s="204"/>
      <c r="V107" s="187"/>
      <c r="W107" s="187"/>
      <c r="X107" s="205"/>
      <c r="Y107" s="203"/>
      <c r="Z107" s="187"/>
      <c r="AA107" s="187"/>
      <c r="AB107" s="187"/>
      <c r="AC107" s="187"/>
      <c r="AD107" s="187"/>
      <c r="AE107" s="187"/>
    </row>
    <row r="108" spans="1:31" ht="14.5" x14ac:dyDescent="0.35">
      <c r="A108" s="262"/>
      <c r="B108" s="187"/>
      <c r="C108" s="187"/>
      <c r="D108" s="189"/>
      <c r="E108" s="190"/>
      <c r="F108" s="190"/>
      <c r="G108" s="191"/>
      <c r="H108" s="192"/>
      <c r="I108" s="192"/>
      <c r="J108" s="194"/>
      <c r="K108" s="211"/>
      <c r="L108" s="202"/>
      <c r="M108" s="207"/>
      <c r="N108" s="198"/>
      <c r="O108" s="199"/>
      <c r="P108" s="200"/>
      <c r="Q108" s="201"/>
      <c r="R108" s="202"/>
      <c r="S108" s="203"/>
      <c r="T108" s="187"/>
      <c r="U108" s="204"/>
      <c r="V108" s="187"/>
      <c r="W108" s="187"/>
      <c r="X108" s="205"/>
      <c r="Y108" s="203"/>
      <c r="Z108" s="187"/>
      <c r="AA108" s="187"/>
      <c r="AB108" s="187"/>
      <c r="AC108" s="187"/>
      <c r="AD108" s="187"/>
      <c r="AE108" s="187"/>
    </row>
    <row r="109" spans="1:31" ht="14.5" x14ac:dyDescent="0.35">
      <c r="A109" s="262"/>
      <c r="B109" s="187"/>
      <c r="C109" s="187"/>
      <c r="D109" s="189"/>
      <c r="E109" s="190"/>
      <c r="F109" s="190"/>
      <c r="G109" s="191"/>
      <c r="H109" s="192"/>
      <c r="I109" s="192"/>
      <c r="J109" s="194"/>
      <c r="K109" s="211"/>
      <c r="L109" s="202"/>
      <c r="M109" s="207"/>
      <c r="N109" s="198"/>
      <c r="O109" s="199"/>
      <c r="P109" s="200"/>
      <c r="Q109" s="201"/>
      <c r="R109" s="202"/>
      <c r="S109" s="203"/>
      <c r="T109" s="187"/>
      <c r="U109" s="204"/>
      <c r="V109" s="187"/>
      <c r="W109" s="187"/>
      <c r="X109" s="205"/>
      <c r="Y109" s="203"/>
      <c r="Z109" s="187"/>
      <c r="AA109" s="187"/>
      <c r="AB109" s="187"/>
      <c r="AC109" s="187"/>
      <c r="AD109" s="187"/>
      <c r="AE109" s="187"/>
    </row>
    <row r="110" spans="1:31" ht="14.5" x14ac:dyDescent="0.35">
      <c r="A110" s="262"/>
      <c r="B110" s="187"/>
      <c r="C110" s="187"/>
      <c r="D110" s="189"/>
      <c r="E110" s="190"/>
      <c r="F110" s="190"/>
      <c r="G110" s="191"/>
      <c r="H110" s="192"/>
      <c r="I110" s="192"/>
      <c r="J110" s="194"/>
      <c r="K110" s="211"/>
      <c r="L110" s="202"/>
      <c r="M110" s="207"/>
      <c r="N110" s="198"/>
      <c r="O110" s="199"/>
      <c r="P110" s="200"/>
      <c r="Q110" s="201"/>
      <c r="R110" s="202"/>
      <c r="S110" s="203"/>
      <c r="T110" s="187"/>
      <c r="U110" s="204"/>
      <c r="V110" s="187"/>
      <c r="W110" s="187"/>
      <c r="X110" s="205"/>
      <c r="Y110" s="203"/>
      <c r="Z110" s="187"/>
      <c r="AA110" s="187"/>
      <c r="AB110" s="187"/>
      <c r="AC110" s="187"/>
      <c r="AD110" s="187"/>
      <c r="AE110" s="187"/>
    </row>
    <row r="111" spans="1:31" ht="14.5" x14ac:dyDescent="0.35">
      <c r="A111" s="262"/>
      <c r="B111" s="187"/>
      <c r="C111" s="187"/>
      <c r="D111" s="189"/>
      <c r="E111" s="190"/>
      <c r="F111" s="190"/>
      <c r="G111" s="191"/>
      <c r="H111" s="192"/>
      <c r="I111" s="192"/>
      <c r="J111" s="194"/>
      <c r="K111" s="211"/>
      <c r="L111" s="202"/>
      <c r="M111" s="207"/>
      <c r="N111" s="198"/>
      <c r="O111" s="199"/>
      <c r="P111" s="200"/>
      <c r="Q111" s="201"/>
      <c r="R111" s="202"/>
      <c r="S111" s="203"/>
      <c r="T111" s="187"/>
      <c r="U111" s="204"/>
      <c r="V111" s="187"/>
      <c r="W111" s="187"/>
      <c r="X111" s="205"/>
      <c r="Y111" s="203"/>
      <c r="Z111" s="187"/>
      <c r="AA111" s="187"/>
      <c r="AB111" s="187"/>
      <c r="AC111" s="187"/>
      <c r="AD111" s="187"/>
      <c r="AE111" s="187"/>
    </row>
    <row r="112" spans="1:31" ht="14.5" x14ac:dyDescent="0.35">
      <c r="A112" s="262"/>
      <c r="B112" s="187"/>
      <c r="C112" s="187"/>
      <c r="D112" s="189"/>
      <c r="E112" s="190"/>
      <c r="F112" s="190"/>
      <c r="G112" s="191"/>
      <c r="H112" s="192"/>
      <c r="I112" s="192"/>
      <c r="J112" s="194"/>
      <c r="K112" s="211"/>
      <c r="L112" s="202"/>
      <c r="M112" s="207"/>
      <c r="N112" s="198"/>
      <c r="O112" s="199"/>
      <c r="P112" s="200"/>
      <c r="Q112" s="201"/>
      <c r="R112" s="202"/>
      <c r="S112" s="203"/>
      <c r="T112" s="187"/>
      <c r="U112" s="204"/>
      <c r="V112" s="187"/>
      <c r="W112" s="187"/>
      <c r="X112" s="205"/>
      <c r="Y112" s="203"/>
      <c r="Z112" s="187"/>
      <c r="AA112" s="187"/>
      <c r="AB112" s="187"/>
      <c r="AC112" s="187"/>
      <c r="AD112" s="187"/>
      <c r="AE112" s="187"/>
    </row>
    <row r="113" spans="1:31" ht="14.5" x14ac:dyDescent="0.35">
      <c r="A113" s="262"/>
      <c r="B113" s="187"/>
      <c r="C113" s="187"/>
      <c r="D113" s="189"/>
      <c r="E113" s="190"/>
      <c r="F113" s="190"/>
      <c r="G113" s="191"/>
      <c r="H113" s="192"/>
      <c r="I113" s="192"/>
      <c r="J113" s="194"/>
      <c r="K113" s="211"/>
      <c r="L113" s="202"/>
      <c r="M113" s="207"/>
      <c r="N113" s="198"/>
      <c r="O113" s="199"/>
      <c r="P113" s="200"/>
      <c r="Q113" s="201"/>
      <c r="R113" s="202"/>
      <c r="S113" s="203"/>
      <c r="T113" s="187"/>
      <c r="U113" s="204"/>
      <c r="V113" s="187"/>
      <c r="W113" s="187"/>
      <c r="X113" s="205"/>
      <c r="Y113" s="203"/>
      <c r="Z113" s="187"/>
      <c r="AA113" s="187"/>
      <c r="AB113" s="187"/>
      <c r="AC113" s="187"/>
      <c r="AD113" s="187"/>
      <c r="AE113" s="187"/>
    </row>
    <row r="114" spans="1:31" ht="14.5" x14ac:dyDescent="0.35">
      <c r="A114" s="262"/>
      <c r="B114" s="187"/>
      <c r="C114" s="187"/>
      <c r="D114" s="189"/>
      <c r="E114" s="190"/>
      <c r="F114" s="190"/>
      <c r="G114" s="191"/>
      <c r="H114" s="192"/>
      <c r="I114" s="192"/>
      <c r="J114" s="194"/>
      <c r="K114" s="211"/>
      <c r="L114" s="202"/>
      <c r="M114" s="207"/>
      <c r="N114" s="198"/>
      <c r="O114" s="199"/>
      <c r="P114" s="200"/>
      <c r="Q114" s="201"/>
      <c r="R114" s="202"/>
      <c r="S114" s="203"/>
      <c r="T114" s="187"/>
      <c r="U114" s="204"/>
      <c r="V114" s="187"/>
      <c r="W114" s="187"/>
      <c r="X114" s="205"/>
      <c r="Y114" s="203"/>
      <c r="Z114" s="187"/>
      <c r="AA114" s="187"/>
      <c r="AB114" s="187"/>
      <c r="AC114" s="187"/>
      <c r="AD114" s="187"/>
      <c r="AE114" s="187"/>
    </row>
    <row r="115" spans="1:31" ht="14.5" x14ac:dyDescent="0.35">
      <c r="A115" s="262"/>
      <c r="B115" s="187"/>
      <c r="C115" s="187"/>
      <c r="D115" s="189"/>
      <c r="E115" s="190"/>
      <c r="F115" s="190"/>
      <c r="G115" s="191"/>
      <c r="H115" s="192"/>
      <c r="I115" s="192"/>
      <c r="J115" s="194"/>
      <c r="K115" s="211"/>
      <c r="L115" s="202"/>
      <c r="M115" s="207"/>
      <c r="N115" s="198"/>
      <c r="O115" s="199"/>
      <c r="P115" s="200"/>
      <c r="Q115" s="201"/>
      <c r="R115" s="202"/>
      <c r="S115" s="203"/>
      <c r="T115" s="187"/>
      <c r="U115" s="204"/>
      <c r="V115" s="187"/>
      <c r="W115" s="187"/>
      <c r="X115" s="205"/>
      <c r="Y115" s="203"/>
      <c r="Z115" s="187"/>
      <c r="AA115" s="187"/>
      <c r="AB115" s="187"/>
      <c r="AC115" s="187"/>
      <c r="AD115" s="187"/>
      <c r="AE115" s="187"/>
    </row>
    <row r="116" spans="1:31" ht="14.5" x14ac:dyDescent="0.35">
      <c r="A116" s="262"/>
      <c r="B116" s="187"/>
      <c r="C116" s="187"/>
      <c r="D116" s="189"/>
      <c r="E116" s="190"/>
      <c r="F116" s="190"/>
      <c r="G116" s="191"/>
      <c r="H116" s="192"/>
      <c r="I116" s="192"/>
      <c r="J116" s="194"/>
      <c r="K116" s="211"/>
      <c r="L116" s="202"/>
      <c r="M116" s="207"/>
      <c r="N116" s="198"/>
      <c r="O116" s="199"/>
      <c r="P116" s="200"/>
      <c r="Q116" s="201"/>
      <c r="R116" s="202"/>
      <c r="S116" s="203"/>
      <c r="T116" s="187"/>
      <c r="U116" s="204"/>
      <c r="V116" s="187"/>
      <c r="W116" s="187"/>
      <c r="X116" s="205"/>
      <c r="Y116" s="203"/>
      <c r="Z116" s="187"/>
      <c r="AA116" s="187"/>
      <c r="AB116" s="187"/>
      <c r="AC116" s="187"/>
      <c r="AD116" s="187"/>
      <c r="AE116" s="187"/>
    </row>
    <row r="117" spans="1:31" ht="14.5" x14ac:dyDescent="0.35">
      <c r="A117" s="262"/>
      <c r="B117" s="187"/>
      <c r="C117" s="187"/>
      <c r="D117" s="189"/>
      <c r="E117" s="190"/>
      <c r="F117" s="190"/>
      <c r="G117" s="191"/>
      <c r="H117" s="192"/>
      <c r="I117" s="192"/>
      <c r="J117" s="194"/>
      <c r="K117" s="211"/>
      <c r="L117" s="202"/>
      <c r="M117" s="207"/>
      <c r="N117" s="198"/>
      <c r="O117" s="199"/>
      <c r="P117" s="200"/>
      <c r="Q117" s="201"/>
      <c r="R117" s="202"/>
      <c r="S117" s="203"/>
      <c r="T117" s="187"/>
      <c r="U117" s="204"/>
      <c r="V117" s="187"/>
      <c r="W117" s="187"/>
      <c r="X117" s="205"/>
      <c r="Y117" s="203"/>
      <c r="Z117" s="187"/>
      <c r="AA117" s="187"/>
      <c r="AB117" s="187"/>
      <c r="AC117" s="187"/>
      <c r="AD117" s="187"/>
      <c r="AE117" s="187"/>
    </row>
    <row r="118" spans="1:31" ht="14.5" x14ac:dyDescent="0.35">
      <c r="A118" s="262"/>
      <c r="B118" s="187"/>
      <c r="C118" s="187"/>
      <c r="D118" s="189"/>
      <c r="E118" s="190"/>
      <c r="F118" s="190"/>
      <c r="G118" s="191"/>
      <c r="H118" s="192"/>
      <c r="I118" s="192"/>
      <c r="J118" s="194"/>
      <c r="K118" s="211"/>
      <c r="L118" s="202"/>
      <c r="M118" s="207"/>
      <c r="N118" s="198"/>
      <c r="O118" s="199"/>
      <c r="P118" s="200"/>
      <c r="Q118" s="201"/>
      <c r="R118" s="202"/>
      <c r="S118" s="203"/>
      <c r="T118" s="187"/>
      <c r="U118" s="204"/>
      <c r="V118" s="187"/>
      <c r="W118" s="187"/>
      <c r="X118" s="205"/>
      <c r="Y118" s="203"/>
      <c r="Z118" s="187"/>
      <c r="AA118" s="187"/>
      <c r="AB118" s="187"/>
      <c r="AC118" s="187"/>
      <c r="AD118" s="187"/>
      <c r="AE118" s="187"/>
    </row>
    <row r="119" spans="1:31" ht="14.5" x14ac:dyDescent="0.35">
      <c r="A119" s="262"/>
      <c r="B119" s="187"/>
      <c r="C119" s="187"/>
      <c r="D119" s="189"/>
      <c r="E119" s="190"/>
      <c r="F119" s="190"/>
      <c r="G119" s="191"/>
      <c r="H119" s="192"/>
      <c r="I119" s="192"/>
      <c r="J119" s="194"/>
      <c r="K119" s="211"/>
      <c r="L119" s="202"/>
      <c r="M119" s="207"/>
      <c r="N119" s="198"/>
      <c r="O119" s="199"/>
      <c r="P119" s="200"/>
      <c r="Q119" s="201"/>
      <c r="R119" s="202"/>
      <c r="S119" s="203"/>
      <c r="T119" s="187"/>
      <c r="U119" s="204"/>
      <c r="V119" s="187"/>
      <c r="W119" s="187"/>
      <c r="X119" s="205"/>
      <c r="Y119" s="203"/>
      <c r="Z119" s="187"/>
      <c r="AA119" s="187"/>
      <c r="AB119" s="187"/>
      <c r="AC119" s="187"/>
      <c r="AD119" s="187"/>
      <c r="AE119" s="187"/>
    </row>
    <row r="120" spans="1:31" ht="14.5" x14ac:dyDescent="0.35">
      <c r="A120" s="262"/>
      <c r="B120" s="187"/>
      <c r="C120" s="187"/>
      <c r="D120" s="189"/>
      <c r="E120" s="190"/>
      <c r="F120" s="190"/>
      <c r="G120" s="191"/>
      <c r="H120" s="192"/>
      <c r="I120" s="192"/>
      <c r="J120" s="194"/>
      <c r="K120" s="211"/>
      <c r="L120" s="202"/>
      <c r="M120" s="207"/>
      <c r="N120" s="198"/>
      <c r="O120" s="199"/>
      <c r="P120" s="200"/>
      <c r="Q120" s="201"/>
      <c r="R120" s="202"/>
      <c r="S120" s="203"/>
      <c r="T120" s="187"/>
      <c r="U120" s="204"/>
      <c r="V120" s="187"/>
      <c r="W120" s="187"/>
      <c r="X120" s="205"/>
      <c r="Y120" s="203"/>
      <c r="Z120" s="187"/>
      <c r="AA120" s="187"/>
      <c r="AB120" s="187"/>
      <c r="AC120" s="187"/>
      <c r="AD120" s="187"/>
      <c r="AE120" s="187"/>
    </row>
    <row r="121" spans="1:31" ht="14.5" x14ac:dyDescent="0.35">
      <c r="A121" s="262"/>
      <c r="B121" s="187"/>
      <c r="C121" s="187"/>
      <c r="D121" s="189"/>
      <c r="E121" s="190"/>
      <c r="F121" s="190"/>
      <c r="G121" s="191"/>
      <c r="H121" s="192"/>
      <c r="I121" s="192"/>
      <c r="J121" s="194"/>
      <c r="K121" s="211"/>
      <c r="L121" s="202"/>
      <c r="M121" s="207"/>
      <c r="N121" s="198"/>
      <c r="O121" s="199"/>
      <c r="P121" s="200"/>
      <c r="Q121" s="201"/>
      <c r="R121" s="202"/>
      <c r="S121" s="203"/>
      <c r="T121" s="187"/>
      <c r="U121" s="204"/>
      <c r="V121" s="187"/>
      <c r="W121" s="187"/>
      <c r="X121" s="205"/>
      <c r="Y121" s="203"/>
      <c r="Z121" s="187"/>
      <c r="AA121" s="187"/>
      <c r="AB121" s="187"/>
      <c r="AC121" s="187"/>
      <c r="AD121" s="187"/>
      <c r="AE121" s="187"/>
    </row>
    <row r="122" spans="1:31" ht="14.5" x14ac:dyDescent="0.35">
      <c r="A122" s="262"/>
      <c r="B122" s="187"/>
      <c r="C122" s="187"/>
      <c r="D122" s="189"/>
      <c r="E122" s="190"/>
      <c r="F122" s="190"/>
      <c r="G122" s="191"/>
      <c r="H122" s="192"/>
      <c r="I122" s="192"/>
      <c r="J122" s="194"/>
      <c r="K122" s="211"/>
      <c r="L122" s="202"/>
      <c r="M122" s="207"/>
      <c r="N122" s="198"/>
      <c r="O122" s="199"/>
      <c r="P122" s="200"/>
      <c r="Q122" s="201"/>
      <c r="R122" s="202"/>
      <c r="S122" s="203"/>
      <c r="T122" s="187"/>
      <c r="U122" s="204"/>
      <c r="V122" s="187"/>
      <c r="W122" s="187"/>
      <c r="X122" s="205"/>
      <c r="Y122" s="203"/>
      <c r="Z122" s="187"/>
      <c r="AA122" s="187"/>
      <c r="AB122" s="187"/>
      <c r="AC122" s="187"/>
      <c r="AD122" s="187"/>
      <c r="AE122" s="187"/>
    </row>
    <row r="123" spans="1:31" ht="14.5" x14ac:dyDescent="0.35">
      <c r="A123" s="262"/>
      <c r="B123" s="187"/>
      <c r="C123" s="187"/>
      <c r="D123" s="189"/>
      <c r="E123" s="190"/>
      <c r="F123" s="190"/>
      <c r="G123" s="191"/>
      <c r="H123" s="192"/>
      <c r="I123" s="192"/>
      <c r="J123" s="194"/>
      <c r="K123" s="211"/>
      <c r="L123" s="202"/>
      <c r="M123" s="207"/>
      <c r="N123" s="198"/>
      <c r="O123" s="199"/>
      <c r="P123" s="200"/>
      <c r="Q123" s="201"/>
      <c r="R123" s="202"/>
      <c r="S123" s="203"/>
      <c r="T123" s="187"/>
      <c r="U123" s="204"/>
      <c r="V123" s="187"/>
      <c r="W123" s="187"/>
      <c r="X123" s="205"/>
      <c r="Y123" s="203"/>
      <c r="Z123" s="187"/>
      <c r="AA123" s="187"/>
      <c r="AB123" s="187"/>
      <c r="AC123" s="187"/>
      <c r="AD123" s="187"/>
      <c r="AE123" s="187"/>
    </row>
    <row r="124" spans="1:31" ht="14.5" x14ac:dyDescent="0.35">
      <c r="A124" s="262"/>
      <c r="B124" s="187"/>
      <c r="C124" s="187"/>
      <c r="D124" s="189"/>
      <c r="E124" s="190"/>
      <c r="F124" s="190"/>
      <c r="G124" s="191"/>
      <c r="H124" s="192"/>
      <c r="I124" s="192"/>
      <c r="J124" s="194"/>
      <c r="K124" s="211"/>
      <c r="L124" s="202"/>
      <c r="M124" s="207"/>
      <c r="N124" s="198"/>
      <c r="O124" s="199"/>
      <c r="P124" s="200"/>
      <c r="Q124" s="201"/>
      <c r="R124" s="202"/>
      <c r="S124" s="203"/>
      <c r="T124" s="187"/>
      <c r="U124" s="204"/>
      <c r="V124" s="187"/>
      <c r="W124" s="187"/>
      <c r="X124" s="205"/>
      <c r="Y124" s="203"/>
      <c r="Z124" s="187"/>
      <c r="AA124" s="187"/>
      <c r="AB124" s="187"/>
      <c r="AC124" s="187"/>
      <c r="AD124" s="187"/>
      <c r="AE124" s="187"/>
    </row>
    <row r="125" spans="1:31" ht="14.5" x14ac:dyDescent="0.35">
      <c r="A125" s="262"/>
      <c r="B125" s="187"/>
      <c r="C125" s="187"/>
      <c r="D125" s="189"/>
      <c r="E125" s="190"/>
      <c r="F125" s="190"/>
      <c r="G125" s="191"/>
      <c r="H125" s="192"/>
      <c r="I125" s="192"/>
      <c r="J125" s="194"/>
      <c r="K125" s="211"/>
      <c r="L125" s="202"/>
      <c r="M125" s="207"/>
      <c r="N125" s="198"/>
      <c r="O125" s="199"/>
      <c r="P125" s="200"/>
      <c r="Q125" s="201"/>
      <c r="R125" s="202"/>
      <c r="S125" s="203"/>
      <c r="T125" s="187"/>
      <c r="U125" s="204"/>
      <c r="V125" s="187"/>
      <c r="W125" s="187"/>
      <c r="X125" s="205"/>
      <c r="Y125" s="203"/>
      <c r="Z125" s="187"/>
      <c r="AA125" s="187"/>
      <c r="AB125" s="187"/>
      <c r="AC125" s="187"/>
      <c r="AD125" s="187"/>
      <c r="AE125" s="187"/>
    </row>
    <row r="126" spans="1:31" ht="14.5" x14ac:dyDescent="0.35">
      <c r="A126" s="262"/>
      <c r="B126" s="187"/>
      <c r="C126" s="187"/>
      <c r="D126" s="189"/>
      <c r="E126" s="190"/>
      <c r="F126" s="190"/>
      <c r="G126" s="191"/>
      <c r="H126" s="192"/>
      <c r="I126" s="192"/>
      <c r="J126" s="194"/>
      <c r="K126" s="211"/>
      <c r="L126" s="202"/>
      <c r="M126" s="207"/>
      <c r="N126" s="198"/>
      <c r="O126" s="199"/>
      <c r="P126" s="200"/>
      <c r="Q126" s="201"/>
      <c r="R126" s="202"/>
      <c r="S126" s="203"/>
      <c r="T126" s="187"/>
      <c r="U126" s="204"/>
      <c r="V126" s="187"/>
      <c r="W126" s="187"/>
      <c r="X126" s="205"/>
      <c r="Y126" s="203"/>
      <c r="Z126" s="187"/>
      <c r="AA126" s="187"/>
      <c r="AB126" s="187"/>
      <c r="AC126" s="187"/>
      <c r="AD126" s="187"/>
      <c r="AE126" s="187"/>
    </row>
    <row r="127" spans="1:31" ht="14.5" x14ac:dyDescent="0.35">
      <c r="H127" s="129"/>
      <c r="I127" s="129"/>
      <c r="J127" s="130"/>
      <c r="K127" s="131"/>
      <c r="N127" s="134"/>
      <c r="O127" s="135"/>
      <c r="P127" s="136"/>
    </row>
    <row r="128" spans="1:31" ht="14.5" x14ac:dyDescent="0.35">
      <c r="H128" s="129"/>
      <c r="I128" s="129"/>
      <c r="J128" s="130"/>
      <c r="K128" s="131"/>
      <c r="N128" s="134"/>
      <c r="O128" s="135"/>
      <c r="P128" s="136"/>
    </row>
    <row r="129" spans="8:16" ht="14.5" x14ac:dyDescent="0.35">
      <c r="H129" s="129"/>
      <c r="I129" s="129"/>
      <c r="J129" s="130"/>
      <c r="K129" s="131"/>
      <c r="N129" s="134"/>
      <c r="O129" s="135"/>
      <c r="P129" s="136"/>
    </row>
    <row r="130" spans="8:16" ht="14.5" x14ac:dyDescent="0.35">
      <c r="H130" s="129"/>
      <c r="I130" s="129"/>
      <c r="J130" s="130"/>
      <c r="K130" s="131"/>
      <c r="N130" s="134"/>
      <c r="O130" s="135"/>
      <c r="P130" s="136"/>
    </row>
    <row r="131" spans="8:16" ht="14.5" x14ac:dyDescent="0.35">
      <c r="H131" s="129"/>
      <c r="I131" s="129"/>
      <c r="J131" s="130"/>
      <c r="K131" s="131"/>
      <c r="N131" s="134"/>
      <c r="O131" s="135"/>
      <c r="P131" s="136"/>
    </row>
    <row r="132" spans="8:16" ht="14.5" x14ac:dyDescent="0.35">
      <c r="H132" s="129"/>
      <c r="I132" s="129"/>
      <c r="J132" s="130"/>
      <c r="K132" s="131"/>
      <c r="N132" s="134"/>
      <c r="O132" s="135"/>
      <c r="P132" s="136"/>
    </row>
    <row r="133" spans="8:16" ht="14.5" x14ac:dyDescent="0.35">
      <c r="H133" s="129"/>
      <c r="I133" s="129"/>
      <c r="J133" s="130"/>
      <c r="K133" s="131"/>
      <c r="N133" s="134"/>
      <c r="O133" s="135"/>
      <c r="P133" s="136"/>
    </row>
    <row r="134" spans="8:16" ht="14.5" x14ac:dyDescent="0.35">
      <c r="H134" s="129"/>
      <c r="I134" s="129"/>
      <c r="J134" s="130"/>
      <c r="K134" s="131"/>
      <c r="N134" s="134"/>
      <c r="O134" s="135"/>
      <c r="P134" s="136"/>
    </row>
    <row r="135" spans="8:16" ht="14.5" x14ac:dyDescent="0.35">
      <c r="H135" s="129"/>
      <c r="I135" s="129"/>
      <c r="J135" s="130"/>
      <c r="K135" s="131"/>
      <c r="N135" s="134"/>
      <c r="O135" s="135"/>
      <c r="P135" s="136"/>
    </row>
    <row r="136" spans="8:16" ht="14.5" x14ac:dyDescent="0.35">
      <c r="H136" s="129"/>
      <c r="I136" s="129"/>
      <c r="J136" s="130"/>
      <c r="K136" s="131"/>
      <c r="N136" s="134"/>
      <c r="O136" s="135"/>
      <c r="P136" s="136"/>
    </row>
    <row r="137" spans="8:16" ht="14.5" x14ac:dyDescent="0.35">
      <c r="H137" s="129"/>
      <c r="I137" s="129"/>
      <c r="J137" s="130"/>
      <c r="K137" s="131"/>
      <c r="N137" s="134"/>
      <c r="O137" s="135"/>
      <c r="P137" s="136"/>
    </row>
    <row r="138" spans="8:16" ht="14.5" x14ac:dyDescent="0.35">
      <c r="H138" s="129"/>
      <c r="I138" s="129"/>
      <c r="J138" s="130"/>
      <c r="K138" s="131"/>
      <c r="N138" s="134"/>
      <c r="O138" s="135"/>
      <c r="P138" s="136"/>
    </row>
    <row r="139" spans="8:16" ht="14.5" x14ac:dyDescent="0.35">
      <c r="H139" s="129"/>
      <c r="I139" s="129"/>
      <c r="J139" s="130"/>
      <c r="K139" s="131"/>
      <c r="N139" s="134"/>
      <c r="O139" s="135"/>
      <c r="P139" s="136"/>
    </row>
    <row r="140" spans="8:16" ht="14.5" x14ac:dyDescent="0.35">
      <c r="H140" s="129"/>
      <c r="I140" s="129"/>
      <c r="J140" s="130"/>
      <c r="K140" s="131"/>
      <c r="N140" s="134"/>
      <c r="O140" s="135"/>
      <c r="P140" s="136"/>
    </row>
    <row r="141" spans="8:16" ht="14.5" x14ac:dyDescent="0.35">
      <c r="H141" s="129"/>
      <c r="I141" s="129"/>
      <c r="J141" s="130"/>
      <c r="K141" s="131"/>
      <c r="N141" s="134"/>
      <c r="O141" s="135"/>
      <c r="P141" s="136"/>
    </row>
    <row r="142" spans="8:16" ht="14.5" x14ac:dyDescent="0.35">
      <c r="H142" s="129"/>
      <c r="I142" s="129"/>
      <c r="J142" s="130"/>
      <c r="K142" s="131"/>
      <c r="N142" s="134"/>
      <c r="O142" s="135"/>
      <c r="P142" s="136"/>
    </row>
    <row r="143" spans="8:16" ht="14.5" x14ac:dyDescent="0.35">
      <c r="H143" s="129"/>
      <c r="I143" s="129"/>
      <c r="J143" s="130"/>
      <c r="K143" s="131"/>
      <c r="N143" s="134"/>
      <c r="O143" s="135"/>
      <c r="P143" s="136"/>
    </row>
    <row r="144" spans="8:16" ht="14.5" x14ac:dyDescent="0.35">
      <c r="H144" s="129"/>
      <c r="I144" s="129"/>
      <c r="J144" s="130"/>
      <c r="K144" s="131"/>
      <c r="N144" s="134"/>
      <c r="O144" s="135"/>
      <c r="P144" s="136"/>
    </row>
    <row r="145" spans="8:16" ht="14.5" x14ac:dyDescent="0.35">
      <c r="H145" s="129"/>
      <c r="I145" s="129"/>
      <c r="J145" s="130"/>
      <c r="K145" s="131"/>
      <c r="N145" s="134"/>
      <c r="O145" s="135"/>
      <c r="P145" s="136"/>
    </row>
    <row r="146" spans="8:16" ht="14.5" x14ac:dyDescent="0.35">
      <c r="H146" s="129"/>
      <c r="I146" s="129"/>
      <c r="J146" s="130"/>
      <c r="K146" s="131"/>
      <c r="N146" s="134"/>
      <c r="O146" s="135"/>
      <c r="P146" s="136"/>
    </row>
    <row r="147" spans="8:16" ht="14.5" x14ac:dyDescent="0.35">
      <c r="H147" s="129"/>
      <c r="I147" s="129"/>
      <c r="J147" s="130"/>
      <c r="K147" s="131"/>
      <c r="N147" s="134"/>
      <c r="O147" s="135"/>
      <c r="P147" s="136"/>
    </row>
    <row r="148" spans="8:16" ht="14.5" x14ac:dyDescent="0.35">
      <c r="H148" s="129"/>
      <c r="I148" s="129"/>
      <c r="J148" s="130"/>
      <c r="K148" s="131"/>
      <c r="N148" s="134"/>
      <c r="O148" s="135"/>
      <c r="P148" s="136"/>
    </row>
    <row r="149" spans="8:16" ht="14.5" x14ac:dyDescent="0.35">
      <c r="H149" s="129"/>
      <c r="I149" s="129"/>
      <c r="J149" s="130"/>
      <c r="K149" s="131"/>
      <c r="N149" s="134"/>
      <c r="O149" s="135"/>
      <c r="P149" s="136"/>
    </row>
    <row r="150" spans="8:16" ht="14.5" x14ac:dyDescent="0.35">
      <c r="H150" s="129"/>
      <c r="I150" s="129"/>
      <c r="J150" s="130"/>
      <c r="K150" s="131"/>
      <c r="N150" s="134"/>
      <c r="O150" s="135"/>
      <c r="P150" s="136"/>
    </row>
    <row r="151" spans="8:16" ht="14.5" x14ac:dyDescent="0.35">
      <c r="H151" s="129"/>
      <c r="I151" s="129"/>
      <c r="J151" s="130"/>
      <c r="K151" s="131"/>
      <c r="N151" s="134"/>
      <c r="O151" s="135"/>
      <c r="P151" s="136"/>
    </row>
    <row r="152" spans="8:16" ht="14.5" x14ac:dyDescent="0.35">
      <c r="H152" s="129"/>
      <c r="I152" s="129"/>
      <c r="J152" s="130"/>
      <c r="K152" s="131"/>
      <c r="N152" s="134"/>
      <c r="O152" s="135"/>
      <c r="P152" s="136"/>
    </row>
    <row r="153" spans="8:16" ht="14.5" x14ac:dyDescent="0.35">
      <c r="H153" s="129"/>
      <c r="I153" s="129"/>
      <c r="J153" s="130"/>
      <c r="K153" s="131"/>
      <c r="N153" s="134"/>
      <c r="O153" s="135"/>
      <c r="P153" s="136"/>
    </row>
    <row r="154" spans="8:16" ht="14.5" x14ac:dyDescent="0.35">
      <c r="H154" s="129"/>
      <c r="I154" s="129"/>
      <c r="J154" s="130"/>
      <c r="K154" s="131"/>
      <c r="N154" s="134"/>
      <c r="O154" s="135"/>
      <c r="P154" s="136"/>
    </row>
    <row r="155" spans="8:16" ht="14.5" x14ac:dyDescent="0.35">
      <c r="H155" s="129"/>
      <c r="I155" s="129"/>
      <c r="J155" s="130"/>
      <c r="K155" s="131"/>
      <c r="N155" s="134"/>
      <c r="O155" s="135"/>
      <c r="P155" s="136"/>
    </row>
    <row r="156" spans="8:16" ht="14.5" x14ac:dyDescent="0.35">
      <c r="H156" s="129"/>
      <c r="I156" s="129"/>
      <c r="J156" s="130"/>
      <c r="K156" s="131"/>
      <c r="N156" s="134"/>
      <c r="O156" s="135"/>
      <c r="P156" s="136"/>
    </row>
    <row r="157" spans="8:16" ht="14.5" x14ac:dyDescent="0.35">
      <c r="H157" s="129"/>
      <c r="I157" s="129"/>
      <c r="J157" s="130"/>
      <c r="K157" s="131"/>
      <c r="N157" s="134"/>
      <c r="O157" s="135"/>
      <c r="P157" s="136"/>
    </row>
    <row r="158" spans="8:16" ht="14.5" x14ac:dyDescent="0.35">
      <c r="H158" s="129"/>
      <c r="I158" s="129"/>
      <c r="J158" s="130"/>
      <c r="K158" s="131"/>
      <c r="N158" s="134"/>
      <c r="O158" s="135"/>
      <c r="P158" s="136"/>
    </row>
    <row r="159" spans="8:16" ht="14.5" x14ac:dyDescent="0.35">
      <c r="H159" s="129"/>
      <c r="I159" s="129"/>
      <c r="J159" s="130"/>
      <c r="K159" s="131"/>
      <c r="N159" s="134"/>
      <c r="O159" s="135"/>
      <c r="P159" s="136"/>
    </row>
    <row r="160" spans="8:16" ht="14.5" x14ac:dyDescent="0.35">
      <c r="H160" s="129"/>
      <c r="I160" s="129"/>
      <c r="J160" s="130"/>
      <c r="K160" s="131"/>
      <c r="N160" s="134"/>
      <c r="O160" s="135"/>
      <c r="P160" s="136"/>
    </row>
    <row r="161" spans="8:16" ht="14.5" x14ac:dyDescent="0.35">
      <c r="H161" s="129"/>
      <c r="I161" s="129"/>
      <c r="J161" s="130"/>
      <c r="K161" s="131"/>
      <c r="N161" s="134"/>
      <c r="O161" s="135"/>
      <c r="P161" s="136"/>
    </row>
    <row r="162" spans="8:16" ht="14.5" x14ac:dyDescent="0.35">
      <c r="H162" s="129"/>
      <c r="I162" s="129"/>
      <c r="J162" s="130"/>
      <c r="K162" s="131"/>
      <c r="N162" s="134"/>
      <c r="O162" s="135"/>
      <c r="P162" s="136"/>
    </row>
    <row r="163" spans="8:16" ht="14.5" x14ac:dyDescent="0.35">
      <c r="H163" s="129"/>
      <c r="I163" s="129"/>
      <c r="J163" s="130"/>
      <c r="K163" s="131"/>
      <c r="N163" s="134"/>
      <c r="O163" s="135"/>
      <c r="P163" s="136"/>
    </row>
    <row r="164" spans="8:16" ht="14.5" x14ac:dyDescent="0.35">
      <c r="H164" s="129"/>
      <c r="I164" s="129"/>
      <c r="J164" s="130"/>
      <c r="K164" s="131"/>
      <c r="N164" s="134"/>
      <c r="O164" s="135"/>
      <c r="P164" s="136"/>
    </row>
    <row r="165" spans="8:16" ht="14.5" x14ac:dyDescent="0.35">
      <c r="H165" s="129"/>
      <c r="I165" s="129"/>
      <c r="J165" s="130"/>
      <c r="K165" s="131"/>
      <c r="N165" s="134"/>
      <c r="O165" s="135"/>
      <c r="P165" s="136"/>
    </row>
    <row r="166" spans="8:16" ht="14.5" x14ac:dyDescent="0.35">
      <c r="H166" s="129"/>
      <c r="I166" s="129"/>
      <c r="J166" s="130"/>
      <c r="K166" s="131"/>
      <c r="N166" s="134"/>
      <c r="O166" s="135"/>
      <c r="P166" s="136"/>
    </row>
    <row r="167" spans="8:16" ht="14.5" x14ac:dyDescent="0.35">
      <c r="H167" s="129"/>
      <c r="I167" s="129"/>
      <c r="J167" s="130"/>
      <c r="K167" s="131"/>
      <c r="N167" s="134"/>
      <c r="O167" s="135"/>
      <c r="P167" s="136"/>
    </row>
    <row r="168" spans="8:16" ht="14.5" x14ac:dyDescent="0.35">
      <c r="H168" s="129"/>
      <c r="I168" s="129"/>
      <c r="J168" s="130"/>
      <c r="K168" s="131"/>
      <c r="N168" s="134"/>
      <c r="O168" s="135"/>
      <c r="P168" s="136"/>
    </row>
    <row r="169" spans="8:16" ht="14.5" x14ac:dyDescent="0.35">
      <c r="H169" s="129"/>
      <c r="I169" s="129"/>
      <c r="J169" s="130"/>
      <c r="K169" s="131"/>
      <c r="N169" s="134"/>
      <c r="O169" s="135"/>
      <c r="P169" s="136"/>
    </row>
    <row r="170" spans="8:16" ht="14.5" x14ac:dyDescent="0.35">
      <c r="H170" s="129"/>
      <c r="I170" s="129"/>
      <c r="J170" s="130"/>
      <c r="K170" s="131"/>
      <c r="N170" s="134"/>
      <c r="O170" s="135"/>
      <c r="P170" s="136"/>
    </row>
    <row r="171" spans="8:16" ht="14.5" x14ac:dyDescent="0.35">
      <c r="H171" s="129"/>
      <c r="I171" s="129"/>
      <c r="J171" s="130"/>
      <c r="K171" s="131"/>
      <c r="N171" s="134"/>
      <c r="O171" s="135"/>
      <c r="P171" s="136"/>
    </row>
    <row r="172" spans="8:16" ht="14.5" x14ac:dyDescent="0.35">
      <c r="H172" s="129"/>
      <c r="I172" s="129"/>
      <c r="J172" s="130"/>
      <c r="K172" s="131"/>
      <c r="N172" s="134"/>
      <c r="O172" s="135"/>
      <c r="P172" s="136"/>
    </row>
    <row r="173" spans="8:16" ht="14.5" x14ac:dyDescent="0.35">
      <c r="H173" s="129"/>
      <c r="I173" s="129"/>
      <c r="J173" s="130"/>
      <c r="K173" s="131"/>
      <c r="N173" s="134"/>
      <c r="O173" s="135"/>
      <c r="P173" s="136"/>
    </row>
    <row r="174" spans="8:16" ht="14.5" x14ac:dyDescent="0.35">
      <c r="H174" s="129"/>
      <c r="I174" s="129"/>
      <c r="J174" s="130"/>
      <c r="K174" s="131"/>
      <c r="N174" s="134"/>
      <c r="O174" s="135"/>
      <c r="P174" s="136"/>
    </row>
    <row r="175" spans="8:16" ht="14.5" x14ac:dyDescent="0.35">
      <c r="H175" s="129"/>
      <c r="I175" s="129"/>
      <c r="J175" s="130"/>
      <c r="K175" s="131"/>
      <c r="N175" s="134"/>
      <c r="O175" s="135"/>
      <c r="P175" s="136"/>
    </row>
    <row r="176" spans="8:16" ht="14.5" x14ac:dyDescent="0.35">
      <c r="H176" s="129"/>
      <c r="I176" s="129"/>
      <c r="J176" s="130"/>
      <c r="K176" s="131"/>
      <c r="N176" s="134"/>
      <c r="O176" s="135"/>
      <c r="P176" s="136"/>
    </row>
    <row r="177" spans="8:16" ht="14.5" x14ac:dyDescent="0.35">
      <c r="H177" s="129"/>
      <c r="I177" s="129"/>
      <c r="J177" s="130"/>
      <c r="K177" s="131"/>
      <c r="N177" s="134"/>
      <c r="O177" s="135"/>
      <c r="P177" s="136"/>
    </row>
    <row r="178" spans="8:16" ht="14.5" x14ac:dyDescent="0.35">
      <c r="H178" s="129"/>
      <c r="I178" s="129"/>
      <c r="J178" s="130"/>
      <c r="K178" s="131"/>
      <c r="N178" s="134"/>
      <c r="O178" s="135"/>
      <c r="P178" s="136"/>
    </row>
    <row r="179" spans="8:16" ht="14.5" x14ac:dyDescent="0.35">
      <c r="H179" s="129"/>
      <c r="I179" s="129"/>
      <c r="J179" s="130"/>
      <c r="K179" s="131"/>
      <c r="N179" s="134"/>
      <c r="O179" s="135"/>
      <c r="P179" s="136"/>
    </row>
    <row r="180" spans="8:16" ht="14.5" x14ac:dyDescent="0.35">
      <c r="H180" s="129"/>
      <c r="I180" s="129"/>
      <c r="J180" s="130"/>
      <c r="K180" s="131"/>
      <c r="N180" s="134"/>
      <c r="O180" s="135"/>
      <c r="P180" s="136"/>
    </row>
    <row r="181" spans="8:16" ht="14.5" x14ac:dyDescent="0.35">
      <c r="H181" s="129"/>
      <c r="I181" s="129"/>
      <c r="J181" s="130"/>
      <c r="K181" s="131"/>
      <c r="N181" s="134"/>
      <c r="O181" s="135"/>
      <c r="P181" s="136"/>
    </row>
    <row r="182" spans="8:16" ht="14.5" x14ac:dyDescent="0.35">
      <c r="H182" s="129"/>
      <c r="I182" s="129"/>
      <c r="J182" s="130"/>
      <c r="K182" s="131"/>
      <c r="N182" s="134"/>
      <c r="O182" s="135"/>
      <c r="P182" s="136"/>
    </row>
    <row r="183" spans="8:16" ht="14.5" x14ac:dyDescent="0.35">
      <c r="H183" s="129"/>
      <c r="I183" s="129"/>
      <c r="J183" s="130"/>
      <c r="K183" s="131"/>
      <c r="N183" s="134"/>
      <c r="O183" s="135"/>
      <c r="P183" s="136"/>
    </row>
    <row r="184" spans="8:16" ht="14.5" x14ac:dyDescent="0.35">
      <c r="H184" s="129"/>
      <c r="I184" s="129"/>
      <c r="J184" s="130"/>
      <c r="K184" s="131"/>
      <c r="N184" s="134"/>
      <c r="O184" s="135"/>
      <c r="P184" s="136"/>
    </row>
    <row r="185" spans="8:16" ht="14.5" x14ac:dyDescent="0.35">
      <c r="H185" s="129"/>
      <c r="I185" s="129"/>
      <c r="J185" s="130"/>
      <c r="K185" s="131"/>
      <c r="N185" s="134"/>
      <c r="O185" s="135"/>
      <c r="P185" s="136"/>
    </row>
    <row r="186" spans="8:16" ht="14.5" x14ac:dyDescent="0.35">
      <c r="H186" s="129"/>
      <c r="I186" s="129"/>
      <c r="J186" s="130"/>
      <c r="K186" s="131"/>
      <c r="N186" s="134"/>
      <c r="O186" s="135"/>
      <c r="P186" s="136"/>
    </row>
    <row r="187" spans="8:16" ht="14.5" x14ac:dyDescent="0.35">
      <c r="H187" s="129"/>
      <c r="I187" s="129"/>
      <c r="J187" s="130"/>
      <c r="K187" s="131"/>
      <c r="N187" s="134"/>
      <c r="O187" s="135"/>
      <c r="P187" s="136"/>
    </row>
    <row r="188" spans="8:16" ht="14.5" x14ac:dyDescent="0.35">
      <c r="H188" s="129"/>
      <c r="I188" s="129"/>
      <c r="J188" s="130"/>
      <c r="K188" s="131"/>
      <c r="N188" s="134"/>
      <c r="O188" s="135"/>
      <c r="P188" s="136"/>
    </row>
    <row r="189" spans="8:16" ht="14.5" x14ac:dyDescent="0.35">
      <c r="H189" s="129"/>
      <c r="I189" s="129"/>
      <c r="J189" s="130"/>
      <c r="K189" s="131"/>
      <c r="N189" s="134"/>
      <c r="O189" s="135"/>
      <c r="P189" s="136"/>
    </row>
    <row r="190" spans="8:16" ht="14.5" x14ac:dyDescent="0.35">
      <c r="H190" s="129"/>
      <c r="I190" s="129"/>
      <c r="J190" s="130"/>
      <c r="K190" s="131"/>
      <c r="N190" s="134"/>
      <c r="O190" s="135"/>
      <c r="P190" s="136"/>
    </row>
    <row r="191" spans="8:16" ht="14.5" x14ac:dyDescent="0.35">
      <c r="H191" s="129"/>
      <c r="I191" s="129"/>
      <c r="J191" s="130"/>
      <c r="K191" s="131"/>
      <c r="N191" s="134"/>
      <c r="O191" s="135"/>
      <c r="P191" s="136"/>
    </row>
    <row r="192" spans="8:16" ht="14.5" x14ac:dyDescent="0.35">
      <c r="H192" s="129"/>
      <c r="I192" s="129"/>
      <c r="J192" s="130"/>
      <c r="K192" s="131"/>
      <c r="N192" s="134"/>
      <c r="O192" s="135"/>
      <c r="P192" s="136"/>
    </row>
    <row r="193" spans="8:16" ht="14.5" x14ac:dyDescent="0.35">
      <c r="H193" s="129"/>
      <c r="I193" s="129"/>
      <c r="J193" s="130"/>
      <c r="K193" s="131"/>
      <c r="N193" s="134"/>
      <c r="O193" s="135"/>
      <c r="P193" s="136"/>
    </row>
    <row r="194" spans="8:16" ht="14.5" x14ac:dyDescent="0.35">
      <c r="H194" s="129"/>
      <c r="I194" s="129"/>
      <c r="J194" s="130"/>
      <c r="K194" s="131"/>
      <c r="N194" s="134"/>
      <c r="O194" s="135"/>
      <c r="P194" s="136"/>
    </row>
    <row r="195" spans="8:16" ht="14.5" x14ac:dyDescent="0.35">
      <c r="H195" s="129"/>
      <c r="I195" s="129"/>
      <c r="J195" s="130"/>
      <c r="K195" s="131"/>
      <c r="N195" s="134"/>
      <c r="O195" s="135"/>
      <c r="P195" s="136"/>
    </row>
    <row r="196" spans="8:16" ht="14.5" x14ac:dyDescent="0.35">
      <c r="H196" s="129"/>
      <c r="I196" s="129"/>
      <c r="J196" s="130"/>
      <c r="K196" s="131"/>
      <c r="N196" s="134"/>
      <c r="O196" s="135"/>
      <c r="P196" s="136"/>
    </row>
    <row r="197" spans="8:16" ht="14.5" x14ac:dyDescent="0.35">
      <c r="H197" s="129"/>
      <c r="I197" s="129"/>
      <c r="J197" s="130"/>
      <c r="K197" s="131"/>
      <c r="N197" s="134"/>
      <c r="O197" s="135"/>
      <c r="P197" s="136"/>
    </row>
    <row r="198" spans="8:16" ht="14.5" x14ac:dyDescent="0.35">
      <c r="H198" s="129"/>
      <c r="I198" s="129"/>
      <c r="J198" s="130"/>
      <c r="K198" s="131"/>
      <c r="N198" s="134"/>
      <c r="O198" s="135"/>
      <c r="P198" s="136"/>
    </row>
    <row r="199" spans="8:16" ht="14.5" x14ac:dyDescent="0.35">
      <c r="H199" s="129"/>
      <c r="I199" s="129"/>
      <c r="J199" s="130"/>
      <c r="K199" s="131"/>
      <c r="N199" s="134"/>
      <c r="O199" s="135"/>
      <c r="P199" s="136"/>
    </row>
    <row r="200" spans="8:16" ht="14.5" x14ac:dyDescent="0.35">
      <c r="H200" s="129"/>
      <c r="I200" s="129"/>
      <c r="J200" s="130"/>
      <c r="K200" s="131"/>
      <c r="N200" s="134"/>
      <c r="O200" s="135"/>
      <c r="P200" s="136"/>
    </row>
    <row r="201" spans="8:16" ht="14.5" x14ac:dyDescent="0.35">
      <c r="H201" s="129"/>
      <c r="I201" s="129"/>
      <c r="J201" s="130"/>
      <c r="K201" s="131"/>
      <c r="N201" s="134"/>
      <c r="O201" s="135"/>
      <c r="P201" s="136"/>
    </row>
    <row r="202" spans="8:16" ht="14.5" x14ac:dyDescent="0.35">
      <c r="H202" s="129"/>
      <c r="I202" s="129"/>
      <c r="J202" s="130"/>
      <c r="K202" s="131"/>
      <c r="N202" s="134"/>
      <c r="O202" s="135"/>
      <c r="P202" s="136"/>
    </row>
    <row r="203" spans="8:16" ht="14.5" x14ac:dyDescent="0.35">
      <c r="H203" s="129"/>
      <c r="I203" s="129"/>
      <c r="J203" s="130"/>
      <c r="K203" s="131"/>
      <c r="N203" s="134"/>
      <c r="O203" s="135"/>
      <c r="P203" s="136"/>
    </row>
    <row r="204" spans="8:16" ht="14.5" x14ac:dyDescent="0.35">
      <c r="H204" s="129"/>
      <c r="I204" s="129"/>
      <c r="J204" s="130"/>
      <c r="K204" s="131"/>
      <c r="N204" s="134"/>
      <c r="O204" s="135"/>
      <c r="P204" s="136"/>
    </row>
    <row r="205" spans="8:16" ht="14.5" x14ac:dyDescent="0.35">
      <c r="H205" s="129"/>
      <c r="I205" s="129"/>
      <c r="J205" s="130"/>
      <c r="K205" s="131"/>
      <c r="N205" s="134"/>
      <c r="O205" s="135"/>
      <c r="P205" s="136"/>
    </row>
    <row r="206" spans="8:16" ht="14.5" x14ac:dyDescent="0.35">
      <c r="H206" s="129"/>
      <c r="I206" s="129"/>
      <c r="J206" s="130"/>
      <c r="K206" s="131"/>
      <c r="N206" s="134"/>
      <c r="O206" s="135"/>
      <c r="P206" s="136"/>
    </row>
    <row r="207" spans="8:16" ht="14.5" x14ac:dyDescent="0.35">
      <c r="H207" s="129"/>
      <c r="I207" s="129"/>
      <c r="J207" s="130"/>
      <c r="K207" s="131"/>
      <c r="N207" s="134"/>
      <c r="O207" s="135"/>
      <c r="P207" s="136"/>
    </row>
    <row r="208" spans="8:16" ht="14.5" x14ac:dyDescent="0.35">
      <c r="H208" s="129"/>
      <c r="I208" s="129"/>
      <c r="J208" s="130"/>
      <c r="K208" s="131"/>
      <c r="N208" s="134"/>
      <c r="O208" s="135"/>
      <c r="P208" s="136"/>
    </row>
    <row r="209" spans="8:16" ht="14.5" x14ac:dyDescent="0.35">
      <c r="H209" s="129"/>
      <c r="I209" s="129"/>
      <c r="J209" s="130"/>
      <c r="K209" s="131"/>
      <c r="N209" s="134"/>
      <c r="O209" s="135"/>
      <c r="P209" s="136"/>
    </row>
    <row r="210" spans="8:16" ht="14.5" x14ac:dyDescent="0.35">
      <c r="H210" s="129"/>
      <c r="I210" s="129"/>
      <c r="J210" s="130"/>
      <c r="K210" s="131"/>
      <c r="N210" s="134"/>
      <c r="O210" s="135"/>
      <c r="P210" s="136"/>
    </row>
    <row r="211" spans="8:16" ht="14.5" x14ac:dyDescent="0.35">
      <c r="H211" s="129"/>
      <c r="I211" s="129"/>
      <c r="J211" s="130"/>
      <c r="K211" s="131"/>
      <c r="N211" s="134"/>
      <c r="O211" s="135"/>
      <c r="P211" s="136"/>
    </row>
    <row r="212" spans="8:16" ht="14.5" x14ac:dyDescent="0.35">
      <c r="H212" s="129"/>
      <c r="I212" s="129"/>
      <c r="J212" s="130"/>
      <c r="K212" s="131"/>
      <c r="N212" s="134"/>
      <c r="O212" s="135"/>
      <c r="P212" s="136"/>
    </row>
    <row r="213" spans="8:16" ht="14.5" x14ac:dyDescent="0.35">
      <c r="H213" s="129"/>
      <c r="I213" s="129"/>
      <c r="J213" s="130"/>
      <c r="K213" s="131"/>
      <c r="N213" s="134"/>
      <c r="O213" s="135"/>
      <c r="P213" s="136"/>
    </row>
    <row r="214" spans="8:16" ht="14.5" x14ac:dyDescent="0.35">
      <c r="H214" s="129"/>
      <c r="I214" s="129"/>
      <c r="J214" s="130"/>
      <c r="K214" s="131"/>
      <c r="N214" s="134"/>
      <c r="O214" s="135"/>
      <c r="P214" s="136"/>
    </row>
    <row r="215" spans="8:16" ht="14.5" x14ac:dyDescent="0.35">
      <c r="H215" s="129"/>
      <c r="I215" s="129"/>
      <c r="J215" s="130"/>
      <c r="K215" s="131"/>
      <c r="N215" s="134"/>
      <c r="O215" s="135"/>
      <c r="P215" s="136"/>
    </row>
    <row r="216" spans="8:16" ht="14.5" x14ac:dyDescent="0.35">
      <c r="H216" s="129"/>
      <c r="I216" s="129"/>
      <c r="J216" s="130"/>
      <c r="K216" s="131"/>
      <c r="N216" s="134"/>
      <c r="O216" s="135"/>
      <c r="P216" s="136"/>
    </row>
    <row r="217" spans="8:16" ht="14.5" x14ac:dyDescent="0.35">
      <c r="H217" s="129"/>
      <c r="I217" s="129"/>
      <c r="J217" s="130"/>
      <c r="K217" s="131"/>
      <c r="N217" s="134"/>
      <c r="O217" s="135"/>
      <c r="P217" s="136"/>
    </row>
    <row r="218" spans="8:16" ht="14.5" x14ac:dyDescent="0.35">
      <c r="H218" s="129"/>
      <c r="I218" s="129"/>
      <c r="J218" s="130"/>
      <c r="K218" s="131"/>
      <c r="N218" s="134"/>
      <c r="O218" s="135"/>
      <c r="P218" s="136"/>
    </row>
    <row r="219" spans="8:16" ht="14.5" x14ac:dyDescent="0.35">
      <c r="H219" s="129"/>
      <c r="I219" s="129"/>
      <c r="J219" s="130"/>
      <c r="K219" s="131"/>
      <c r="N219" s="134"/>
      <c r="O219" s="135"/>
      <c r="P219" s="136"/>
    </row>
    <row r="220" spans="8:16" ht="14.5" x14ac:dyDescent="0.35">
      <c r="H220" s="129"/>
      <c r="I220" s="129"/>
      <c r="J220" s="130"/>
      <c r="K220" s="131"/>
      <c r="N220" s="134"/>
      <c r="O220" s="135"/>
      <c r="P220" s="136"/>
    </row>
    <row r="221" spans="8:16" ht="14.5" x14ac:dyDescent="0.35">
      <c r="H221" s="129"/>
      <c r="I221" s="129"/>
      <c r="J221" s="130"/>
      <c r="K221" s="131"/>
      <c r="N221" s="134"/>
      <c r="O221" s="135"/>
      <c r="P221" s="136"/>
    </row>
    <row r="222" spans="8:16" ht="14.5" x14ac:dyDescent="0.35">
      <c r="H222" s="129"/>
      <c r="I222" s="129"/>
      <c r="J222" s="130"/>
      <c r="K222" s="131"/>
      <c r="N222" s="134"/>
      <c r="O222" s="135"/>
      <c r="P222" s="136"/>
    </row>
    <row r="223" spans="8:16" ht="14.5" x14ac:dyDescent="0.35">
      <c r="H223" s="129"/>
      <c r="I223" s="129"/>
      <c r="J223" s="130"/>
      <c r="K223" s="131"/>
      <c r="N223" s="134"/>
      <c r="O223" s="135"/>
      <c r="P223" s="136"/>
    </row>
    <row r="224" spans="8:16" ht="14.5" x14ac:dyDescent="0.35">
      <c r="H224" s="129"/>
      <c r="I224" s="129"/>
      <c r="J224" s="130"/>
      <c r="K224" s="131"/>
      <c r="N224" s="134"/>
      <c r="O224" s="135"/>
      <c r="P224" s="136"/>
    </row>
    <row r="225" spans="8:16" ht="14.5" x14ac:dyDescent="0.35">
      <c r="H225" s="129"/>
      <c r="I225" s="129"/>
      <c r="J225" s="130"/>
      <c r="K225" s="131"/>
      <c r="N225" s="134"/>
      <c r="O225" s="135"/>
      <c r="P225" s="136"/>
    </row>
    <row r="226" spans="8:16" ht="14.5" x14ac:dyDescent="0.35">
      <c r="H226" s="129"/>
      <c r="I226" s="129"/>
      <c r="J226" s="130"/>
      <c r="K226" s="131"/>
      <c r="N226" s="134"/>
      <c r="O226" s="135"/>
      <c r="P226" s="136"/>
    </row>
    <row r="227" spans="8:16" ht="14.5" x14ac:dyDescent="0.35">
      <c r="H227" s="129"/>
      <c r="I227" s="129"/>
      <c r="J227" s="130"/>
      <c r="K227" s="131"/>
      <c r="N227" s="134"/>
      <c r="O227" s="135"/>
      <c r="P227" s="136"/>
    </row>
    <row r="228" spans="8:16" ht="14.5" x14ac:dyDescent="0.35">
      <c r="H228" s="129"/>
      <c r="I228" s="129"/>
      <c r="J228" s="130"/>
      <c r="K228" s="131"/>
      <c r="N228" s="134"/>
      <c r="O228" s="135"/>
      <c r="P228" s="136"/>
    </row>
    <row r="229" spans="8:16" ht="14.5" x14ac:dyDescent="0.35">
      <c r="H229" s="129"/>
      <c r="I229" s="129"/>
      <c r="J229" s="130"/>
      <c r="K229" s="131"/>
      <c r="N229" s="134"/>
      <c r="O229" s="135"/>
      <c r="P229" s="136"/>
    </row>
    <row r="230" spans="8:16" ht="14.5" x14ac:dyDescent="0.35">
      <c r="H230" s="129"/>
      <c r="I230" s="129"/>
      <c r="J230" s="130"/>
      <c r="K230" s="131"/>
      <c r="N230" s="134"/>
      <c r="O230" s="135"/>
      <c r="P230" s="136"/>
    </row>
    <row r="231" spans="8:16" ht="14.5" x14ac:dyDescent="0.35">
      <c r="H231" s="129"/>
      <c r="I231" s="129"/>
      <c r="J231" s="130"/>
      <c r="K231" s="131"/>
      <c r="N231" s="134"/>
      <c r="O231" s="135"/>
      <c r="P231" s="136"/>
    </row>
    <row r="232" spans="8:16" ht="14.5" x14ac:dyDescent="0.35">
      <c r="H232" s="129"/>
      <c r="I232" s="129"/>
      <c r="J232" s="130"/>
      <c r="K232" s="131"/>
      <c r="N232" s="134"/>
      <c r="O232" s="135"/>
      <c r="P232" s="136"/>
    </row>
    <row r="233" spans="8:16" ht="14.5" x14ac:dyDescent="0.35">
      <c r="H233" s="129"/>
      <c r="I233" s="129"/>
      <c r="J233" s="130"/>
      <c r="K233" s="131"/>
      <c r="N233" s="134"/>
      <c r="O233" s="135"/>
      <c r="P233" s="136"/>
    </row>
    <row r="234" spans="8:16" ht="14.5" x14ac:dyDescent="0.35">
      <c r="H234" s="129"/>
      <c r="I234" s="129"/>
      <c r="J234" s="130"/>
      <c r="K234" s="131"/>
      <c r="N234" s="134"/>
      <c r="O234" s="135"/>
      <c r="P234" s="136"/>
    </row>
    <row r="235" spans="8:16" ht="14.5" x14ac:dyDescent="0.35">
      <c r="H235" s="129"/>
      <c r="I235" s="129"/>
      <c r="J235" s="130"/>
      <c r="K235" s="131"/>
      <c r="N235" s="134"/>
      <c r="O235" s="135"/>
      <c r="P235" s="136"/>
    </row>
    <row r="236" spans="8:16" ht="14.5" x14ac:dyDescent="0.35">
      <c r="H236" s="129"/>
      <c r="I236" s="129"/>
      <c r="J236" s="130"/>
      <c r="K236" s="131"/>
      <c r="N236" s="134"/>
      <c r="O236" s="135"/>
      <c r="P236" s="136"/>
    </row>
    <row r="237" spans="8:16" ht="14.5" x14ac:dyDescent="0.35">
      <c r="H237" s="129"/>
      <c r="I237" s="129"/>
      <c r="J237" s="130"/>
      <c r="K237" s="131"/>
      <c r="N237" s="134"/>
      <c r="O237" s="135"/>
      <c r="P237" s="136"/>
    </row>
    <row r="238" spans="8:16" ht="14.5" x14ac:dyDescent="0.35">
      <c r="H238" s="129"/>
      <c r="I238" s="129"/>
      <c r="J238" s="130"/>
      <c r="K238" s="131"/>
      <c r="N238" s="134"/>
      <c r="O238" s="135"/>
      <c r="P238" s="136"/>
    </row>
    <row r="239" spans="8:16" ht="14.5" x14ac:dyDescent="0.35">
      <c r="H239" s="129"/>
      <c r="I239" s="129"/>
      <c r="J239" s="130"/>
      <c r="K239" s="131"/>
      <c r="N239" s="134"/>
      <c r="O239" s="135"/>
      <c r="P239" s="136"/>
    </row>
    <row r="240" spans="8:16" ht="14.5" x14ac:dyDescent="0.35">
      <c r="H240" s="129"/>
      <c r="I240" s="129"/>
      <c r="J240" s="130"/>
      <c r="K240" s="131"/>
      <c r="N240" s="134"/>
      <c r="O240" s="135"/>
      <c r="P240" s="136"/>
    </row>
    <row r="241" spans="8:16" ht="14.5" x14ac:dyDescent="0.35">
      <c r="H241" s="129"/>
      <c r="I241" s="129"/>
      <c r="J241" s="130"/>
      <c r="K241" s="131"/>
      <c r="N241" s="134"/>
      <c r="O241" s="135"/>
      <c r="P241" s="136"/>
    </row>
    <row r="242" spans="8:16" ht="14.5" x14ac:dyDescent="0.35">
      <c r="H242" s="129"/>
      <c r="I242" s="129"/>
      <c r="J242" s="130"/>
      <c r="K242" s="131"/>
      <c r="N242" s="134"/>
      <c r="O242" s="135"/>
      <c r="P242" s="136"/>
    </row>
    <row r="243" spans="8:16" ht="14.5" x14ac:dyDescent="0.35">
      <c r="H243" s="129"/>
      <c r="I243" s="129"/>
      <c r="J243" s="130"/>
      <c r="K243" s="131"/>
      <c r="N243" s="134"/>
      <c r="O243" s="135"/>
      <c r="P243" s="136"/>
    </row>
    <row r="244" spans="8:16" ht="14.5" x14ac:dyDescent="0.35">
      <c r="H244" s="129"/>
      <c r="I244" s="129"/>
      <c r="J244" s="130"/>
      <c r="K244" s="131"/>
      <c r="N244" s="134"/>
      <c r="O244" s="135"/>
      <c r="P244" s="136"/>
    </row>
    <row r="245" spans="8:16" ht="14.5" x14ac:dyDescent="0.35">
      <c r="H245" s="129"/>
      <c r="I245" s="129"/>
      <c r="J245" s="130"/>
      <c r="K245" s="131"/>
      <c r="N245" s="134"/>
      <c r="O245" s="135"/>
      <c r="P245" s="136"/>
    </row>
    <row r="246" spans="8:16" ht="14.5" x14ac:dyDescent="0.35">
      <c r="H246" s="129"/>
      <c r="I246" s="129"/>
      <c r="J246" s="130"/>
      <c r="K246" s="131"/>
      <c r="N246" s="134"/>
      <c r="O246" s="135"/>
      <c r="P246" s="136"/>
    </row>
    <row r="247" spans="8:16" ht="14.5" x14ac:dyDescent="0.35">
      <c r="H247" s="129"/>
      <c r="I247" s="129"/>
      <c r="J247" s="130"/>
      <c r="K247" s="131"/>
      <c r="N247" s="134"/>
      <c r="O247" s="135"/>
      <c r="P247" s="136"/>
    </row>
    <row r="248" spans="8:16" ht="14.5" x14ac:dyDescent="0.35">
      <c r="H248" s="129"/>
      <c r="I248" s="129"/>
      <c r="J248" s="130"/>
      <c r="K248" s="131"/>
      <c r="N248" s="134"/>
      <c r="O248" s="135"/>
      <c r="P248" s="136"/>
    </row>
    <row r="249" spans="8:16" ht="14.5" x14ac:dyDescent="0.35">
      <c r="H249" s="129"/>
      <c r="I249" s="129"/>
      <c r="J249" s="130"/>
      <c r="K249" s="131"/>
      <c r="N249" s="134"/>
      <c r="O249" s="135"/>
      <c r="P249" s="136"/>
    </row>
    <row r="250" spans="8:16" ht="14.5" x14ac:dyDescent="0.35">
      <c r="H250" s="129"/>
      <c r="I250" s="129"/>
      <c r="J250" s="130"/>
      <c r="K250" s="131"/>
      <c r="N250" s="134"/>
      <c r="O250" s="135"/>
      <c r="P250" s="136"/>
    </row>
    <row r="251" spans="8:16" ht="14.5" x14ac:dyDescent="0.35">
      <c r="H251" s="129"/>
      <c r="I251" s="129"/>
      <c r="J251" s="130"/>
      <c r="K251" s="131"/>
      <c r="N251" s="134"/>
      <c r="O251" s="135"/>
      <c r="P251" s="136"/>
    </row>
    <row r="252" spans="8:16" ht="14.5" x14ac:dyDescent="0.35">
      <c r="H252" s="129"/>
      <c r="I252" s="129"/>
      <c r="J252" s="130"/>
      <c r="K252" s="131"/>
      <c r="N252" s="134"/>
      <c r="O252" s="135"/>
      <c r="P252" s="136"/>
    </row>
    <row r="253" spans="8:16" ht="14.5" x14ac:dyDescent="0.35">
      <c r="H253" s="129"/>
      <c r="I253" s="129"/>
      <c r="J253" s="130"/>
      <c r="K253" s="131"/>
      <c r="N253" s="134"/>
      <c r="O253" s="135"/>
      <c r="P253" s="136"/>
    </row>
    <row r="254" spans="8:16" ht="14.5" x14ac:dyDescent="0.35">
      <c r="H254" s="129"/>
      <c r="I254" s="129"/>
      <c r="J254" s="130"/>
      <c r="K254" s="131"/>
      <c r="N254" s="134"/>
      <c r="O254" s="135"/>
      <c r="P254" s="136"/>
    </row>
    <row r="255" spans="8:16" ht="14.5" x14ac:dyDescent="0.35">
      <c r="H255" s="129"/>
      <c r="I255" s="129"/>
      <c r="J255" s="130"/>
      <c r="K255" s="131"/>
      <c r="N255" s="134"/>
      <c r="O255" s="135"/>
      <c r="P255" s="136"/>
    </row>
    <row r="256" spans="8:16" ht="14.5" x14ac:dyDescent="0.35">
      <c r="H256" s="129"/>
      <c r="I256" s="129"/>
      <c r="J256" s="130"/>
      <c r="K256" s="131"/>
      <c r="N256" s="134"/>
      <c r="O256" s="135"/>
      <c r="P256" s="136"/>
    </row>
    <row r="257" spans="8:16" ht="14.5" x14ac:dyDescent="0.35">
      <c r="H257" s="129"/>
      <c r="I257" s="129"/>
      <c r="J257" s="130"/>
      <c r="K257" s="131"/>
      <c r="N257" s="134"/>
      <c r="O257" s="135"/>
      <c r="P257" s="136"/>
    </row>
    <row r="258" spans="8:16" ht="14.5" x14ac:dyDescent="0.35">
      <c r="H258" s="129"/>
      <c r="I258" s="129"/>
      <c r="J258" s="130"/>
      <c r="K258" s="131"/>
      <c r="N258" s="134"/>
      <c r="O258" s="135"/>
      <c r="P258" s="136"/>
    </row>
    <row r="259" spans="8:16" ht="14.5" x14ac:dyDescent="0.35">
      <c r="H259" s="129"/>
      <c r="I259" s="129"/>
      <c r="J259" s="130"/>
      <c r="K259" s="131"/>
      <c r="N259" s="134"/>
      <c r="O259" s="135"/>
      <c r="P259" s="136"/>
    </row>
    <row r="260" spans="8:16" ht="14.5" x14ac:dyDescent="0.35">
      <c r="H260" s="129"/>
      <c r="I260" s="129"/>
      <c r="J260" s="130"/>
      <c r="K260" s="131"/>
      <c r="N260" s="134"/>
      <c r="O260" s="135"/>
      <c r="P260" s="136"/>
    </row>
    <row r="261" spans="8:16" ht="14.5" x14ac:dyDescent="0.35">
      <c r="H261" s="129"/>
      <c r="I261" s="129"/>
      <c r="J261" s="130"/>
      <c r="K261" s="131"/>
      <c r="N261" s="134"/>
      <c r="O261" s="135"/>
      <c r="P261" s="136"/>
    </row>
    <row r="262" spans="8:16" ht="14.5" x14ac:dyDescent="0.35">
      <c r="H262" s="129"/>
      <c r="I262" s="129"/>
      <c r="J262" s="130"/>
      <c r="K262" s="131"/>
      <c r="N262" s="134"/>
      <c r="O262" s="135"/>
      <c r="P262" s="136"/>
    </row>
    <row r="263" spans="8:16" ht="14.5" x14ac:dyDescent="0.35">
      <c r="H263" s="129"/>
      <c r="I263" s="129"/>
      <c r="J263" s="130"/>
      <c r="K263" s="131"/>
      <c r="N263" s="134"/>
      <c r="O263" s="135"/>
      <c r="P263" s="136"/>
    </row>
    <row r="264" spans="8:16" ht="14.5" x14ac:dyDescent="0.35">
      <c r="H264" s="129"/>
      <c r="I264" s="129"/>
      <c r="J264" s="130"/>
      <c r="K264" s="131"/>
      <c r="N264" s="134"/>
      <c r="O264" s="135"/>
      <c r="P264" s="136"/>
    </row>
    <row r="265" spans="8:16" ht="14.5" x14ac:dyDescent="0.35">
      <c r="H265" s="129"/>
      <c r="I265" s="129"/>
      <c r="J265" s="130"/>
      <c r="K265" s="131"/>
      <c r="N265" s="134"/>
      <c r="O265" s="135"/>
      <c r="P265" s="136"/>
    </row>
    <row r="266" spans="8:16" ht="14.5" x14ac:dyDescent="0.35">
      <c r="H266" s="129"/>
      <c r="I266" s="129"/>
      <c r="J266" s="130"/>
      <c r="K266" s="131"/>
      <c r="N266" s="134"/>
      <c r="O266" s="135"/>
      <c r="P266" s="136"/>
    </row>
    <row r="267" spans="8:16" ht="14.5" x14ac:dyDescent="0.35">
      <c r="H267" s="129"/>
      <c r="I267" s="129"/>
      <c r="J267" s="130"/>
      <c r="K267" s="131"/>
      <c r="N267" s="134"/>
      <c r="O267" s="135"/>
      <c r="P267" s="136"/>
    </row>
    <row r="268" spans="8:16" ht="14.5" x14ac:dyDescent="0.35">
      <c r="H268" s="129"/>
      <c r="I268" s="129"/>
      <c r="J268" s="130"/>
      <c r="K268" s="131"/>
      <c r="N268" s="134"/>
      <c r="O268" s="135"/>
      <c r="P268" s="136"/>
    </row>
    <row r="269" spans="8:16" ht="14.5" x14ac:dyDescent="0.35">
      <c r="H269" s="129"/>
      <c r="I269" s="129"/>
      <c r="J269" s="130"/>
      <c r="K269" s="131"/>
      <c r="N269" s="134"/>
      <c r="O269" s="135"/>
      <c r="P269" s="136"/>
    </row>
    <row r="270" spans="8:16" ht="14.5" x14ac:dyDescent="0.35">
      <c r="H270" s="129"/>
      <c r="I270" s="129"/>
      <c r="J270" s="130"/>
      <c r="K270" s="131"/>
      <c r="N270" s="134"/>
      <c r="O270" s="135"/>
      <c r="P270" s="136"/>
    </row>
    <row r="271" spans="8:16" ht="14.5" x14ac:dyDescent="0.35">
      <c r="H271" s="129"/>
      <c r="I271" s="129"/>
      <c r="J271" s="130"/>
      <c r="K271" s="131"/>
      <c r="N271" s="134"/>
      <c r="O271" s="135"/>
      <c r="P271" s="136"/>
    </row>
    <row r="272" spans="8:16" ht="14.5" x14ac:dyDescent="0.35">
      <c r="H272" s="129"/>
      <c r="I272" s="129"/>
      <c r="J272" s="130"/>
      <c r="K272" s="131"/>
      <c r="N272" s="134"/>
      <c r="O272" s="135"/>
      <c r="P272" s="136"/>
    </row>
    <row r="273" spans="8:16" ht="14.5" x14ac:dyDescent="0.35">
      <c r="H273" s="129"/>
      <c r="I273" s="129"/>
      <c r="J273" s="130"/>
      <c r="K273" s="131"/>
      <c r="N273" s="134"/>
      <c r="O273" s="135"/>
      <c r="P273" s="136"/>
    </row>
    <row r="274" spans="8:16" ht="14.5" x14ac:dyDescent="0.35">
      <c r="H274" s="129"/>
      <c r="I274" s="129"/>
      <c r="J274" s="130"/>
      <c r="K274" s="131"/>
      <c r="N274" s="134"/>
      <c r="O274" s="135"/>
      <c r="P274" s="136"/>
    </row>
    <row r="275" spans="8:16" ht="14.5" x14ac:dyDescent="0.35">
      <c r="H275" s="129"/>
      <c r="I275" s="129"/>
      <c r="J275" s="130"/>
      <c r="K275" s="131"/>
      <c r="N275" s="134"/>
      <c r="O275" s="135"/>
      <c r="P275" s="136"/>
    </row>
    <row r="276" spans="8:16" ht="14.5" x14ac:dyDescent="0.35">
      <c r="H276" s="129"/>
      <c r="I276" s="129"/>
      <c r="J276" s="130"/>
      <c r="K276" s="131"/>
      <c r="N276" s="134"/>
      <c r="O276" s="135"/>
      <c r="P276" s="136"/>
    </row>
    <row r="277" spans="8:16" ht="14.5" x14ac:dyDescent="0.35">
      <c r="H277" s="129"/>
      <c r="I277" s="129"/>
      <c r="J277" s="130"/>
      <c r="K277" s="131"/>
      <c r="N277" s="134"/>
      <c r="O277" s="135"/>
      <c r="P277" s="136"/>
    </row>
    <row r="278" spans="8:16" ht="14.5" x14ac:dyDescent="0.35">
      <c r="H278" s="129"/>
      <c r="I278" s="129"/>
      <c r="J278" s="130"/>
      <c r="K278" s="131"/>
      <c r="N278" s="134"/>
      <c r="O278" s="135"/>
      <c r="P278" s="136"/>
    </row>
    <row r="279" spans="8:16" ht="14.5" x14ac:dyDescent="0.35">
      <c r="H279" s="129"/>
      <c r="I279" s="129"/>
      <c r="J279" s="130"/>
      <c r="K279" s="131"/>
      <c r="N279" s="134"/>
      <c r="O279" s="135"/>
      <c r="P279" s="136"/>
    </row>
    <row r="280" spans="8:16" ht="14.5" x14ac:dyDescent="0.35">
      <c r="H280" s="129"/>
      <c r="I280" s="129"/>
      <c r="J280" s="130"/>
      <c r="K280" s="131"/>
      <c r="N280" s="134"/>
      <c r="O280" s="135"/>
      <c r="P280" s="136"/>
    </row>
    <row r="281" spans="8:16" ht="14.5" x14ac:dyDescent="0.35">
      <c r="H281" s="129"/>
      <c r="I281" s="129"/>
      <c r="J281" s="130"/>
      <c r="K281" s="131"/>
      <c r="N281" s="134"/>
      <c r="O281" s="135"/>
      <c r="P281" s="136"/>
    </row>
    <row r="282" spans="8:16" ht="14.5" x14ac:dyDescent="0.35">
      <c r="H282" s="129"/>
      <c r="I282" s="129"/>
      <c r="J282" s="130"/>
      <c r="K282" s="131"/>
      <c r="N282" s="134"/>
      <c r="O282" s="135"/>
      <c r="P282" s="136"/>
    </row>
    <row r="283" spans="8:16" ht="14.5" x14ac:dyDescent="0.35">
      <c r="H283" s="129"/>
      <c r="I283" s="129"/>
      <c r="J283" s="130"/>
      <c r="K283" s="131"/>
      <c r="N283" s="134"/>
      <c r="O283" s="135"/>
      <c r="P283" s="136"/>
    </row>
    <row r="284" spans="8:16" ht="14.5" x14ac:dyDescent="0.35">
      <c r="H284" s="129"/>
      <c r="I284" s="129"/>
      <c r="J284" s="130"/>
      <c r="K284" s="131"/>
      <c r="N284" s="134"/>
      <c r="O284" s="135"/>
      <c r="P284" s="136"/>
    </row>
    <row r="285" spans="8:16" ht="14.5" x14ac:dyDescent="0.35">
      <c r="H285" s="129"/>
      <c r="I285" s="129"/>
      <c r="J285" s="130"/>
      <c r="K285" s="131"/>
      <c r="N285" s="134"/>
      <c r="O285" s="135"/>
      <c r="P285" s="136"/>
    </row>
    <row r="286" spans="8:16" ht="14.5" x14ac:dyDescent="0.35">
      <c r="H286" s="129"/>
      <c r="I286" s="129"/>
      <c r="J286" s="130"/>
      <c r="K286" s="131"/>
      <c r="N286" s="134"/>
      <c r="O286" s="135"/>
      <c r="P286" s="136"/>
    </row>
    <row r="287" spans="8:16" ht="14.5" x14ac:dyDescent="0.35">
      <c r="H287" s="129"/>
      <c r="I287" s="129"/>
      <c r="J287" s="130"/>
      <c r="K287" s="131"/>
      <c r="N287" s="134"/>
      <c r="O287" s="135"/>
      <c r="P287" s="136"/>
    </row>
    <row r="288" spans="8:16" ht="14.5" x14ac:dyDescent="0.35">
      <c r="H288" s="129"/>
      <c r="I288" s="129"/>
      <c r="J288" s="130"/>
      <c r="K288" s="131"/>
      <c r="N288" s="134"/>
      <c r="O288" s="135"/>
      <c r="P288" s="136"/>
    </row>
    <row r="289" spans="8:16" ht="14.5" x14ac:dyDescent="0.35">
      <c r="H289" s="129"/>
      <c r="I289" s="129"/>
      <c r="J289" s="130"/>
      <c r="K289" s="131"/>
      <c r="N289" s="134"/>
      <c r="O289" s="135"/>
      <c r="P289" s="136"/>
    </row>
    <row r="290" spans="8:16" ht="14.5" x14ac:dyDescent="0.35">
      <c r="H290" s="129"/>
      <c r="I290" s="129"/>
      <c r="J290" s="130"/>
      <c r="K290" s="131"/>
      <c r="N290" s="134"/>
      <c r="O290" s="135"/>
      <c r="P290" s="136"/>
    </row>
    <row r="291" spans="8:16" ht="14.5" x14ac:dyDescent="0.35">
      <c r="H291" s="129"/>
      <c r="I291" s="129"/>
      <c r="J291" s="130"/>
      <c r="K291" s="131"/>
      <c r="N291" s="134"/>
      <c r="O291" s="135"/>
      <c r="P291" s="136"/>
    </row>
    <row r="292" spans="8:16" ht="14.5" x14ac:dyDescent="0.35">
      <c r="H292" s="129"/>
      <c r="I292" s="129"/>
      <c r="J292" s="130"/>
      <c r="K292" s="131"/>
      <c r="N292" s="134"/>
      <c r="O292" s="135"/>
      <c r="P292" s="136"/>
    </row>
    <row r="293" spans="8:16" ht="14.5" x14ac:dyDescent="0.35">
      <c r="H293" s="129"/>
      <c r="I293" s="129"/>
      <c r="J293" s="130"/>
      <c r="K293" s="131"/>
      <c r="N293" s="134"/>
      <c r="O293" s="135"/>
      <c r="P293" s="136"/>
    </row>
    <row r="294" spans="8:16" ht="14.5" x14ac:dyDescent="0.35">
      <c r="H294" s="129"/>
      <c r="I294" s="129"/>
      <c r="J294" s="130"/>
      <c r="K294" s="131"/>
      <c r="N294" s="134"/>
      <c r="O294" s="135"/>
      <c r="P294" s="136"/>
    </row>
    <row r="295" spans="8:16" ht="14.5" x14ac:dyDescent="0.35">
      <c r="H295" s="129"/>
      <c r="I295" s="129"/>
      <c r="J295" s="130"/>
      <c r="K295" s="131"/>
      <c r="N295" s="134"/>
      <c r="O295" s="135"/>
      <c r="P295" s="136"/>
    </row>
    <row r="296" spans="8:16" ht="14.5" x14ac:dyDescent="0.35">
      <c r="H296" s="129"/>
      <c r="I296" s="129"/>
      <c r="J296" s="130"/>
      <c r="K296" s="131"/>
      <c r="N296" s="134"/>
      <c r="O296" s="135"/>
      <c r="P296" s="136"/>
    </row>
    <row r="297" spans="8:16" ht="14.5" x14ac:dyDescent="0.35">
      <c r="H297" s="129"/>
      <c r="I297" s="129"/>
      <c r="J297" s="130"/>
      <c r="K297" s="131"/>
      <c r="N297" s="134"/>
      <c r="O297" s="135"/>
      <c r="P297" s="136"/>
    </row>
    <row r="298" spans="8:16" ht="14.5" x14ac:dyDescent="0.35">
      <c r="H298" s="129"/>
      <c r="I298" s="129"/>
      <c r="J298" s="130"/>
      <c r="K298" s="131"/>
      <c r="N298" s="134"/>
      <c r="O298" s="135"/>
      <c r="P298" s="136"/>
    </row>
    <row r="299" spans="8:16" ht="14.5" x14ac:dyDescent="0.35">
      <c r="H299" s="129"/>
      <c r="I299" s="129"/>
      <c r="J299" s="130"/>
      <c r="K299" s="131"/>
      <c r="N299" s="134"/>
      <c r="O299" s="135"/>
      <c r="P299" s="136"/>
    </row>
    <row r="300" spans="8:16" ht="14.5" x14ac:dyDescent="0.35">
      <c r="H300" s="129"/>
      <c r="I300" s="129"/>
      <c r="J300" s="130"/>
      <c r="K300" s="131"/>
      <c r="N300" s="134"/>
      <c r="O300" s="135"/>
      <c r="P300" s="136"/>
    </row>
    <row r="301" spans="8:16" ht="14.5" x14ac:dyDescent="0.35">
      <c r="H301" s="129"/>
      <c r="I301" s="129"/>
      <c r="J301" s="130"/>
      <c r="K301" s="131"/>
      <c r="N301" s="134"/>
      <c r="O301" s="135"/>
      <c r="P301" s="136"/>
    </row>
    <row r="302" spans="8:16" ht="14.5" x14ac:dyDescent="0.35">
      <c r="H302" s="129"/>
      <c r="I302" s="129"/>
      <c r="J302" s="130"/>
      <c r="K302" s="131"/>
      <c r="N302" s="134"/>
      <c r="O302" s="135"/>
      <c r="P302" s="136"/>
    </row>
    <row r="303" spans="8:16" ht="14.5" x14ac:dyDescent="0.35">
      <c r="H303" s="129"/>
      <c r="I303" s="129"/>
      <c r="J303" s="130"/>
      <c r="K303" s="131"/>
      <c r="N303" s="134"/>
      <c r="O303" s="135"/>
      <c r="P303" s="136"/>
    </row>
    <row r="304" spans="8:16" ht="14.5" x14ac:dyDescent="0.35">
      <c r="H304" s="129"/>
      <c r="I304" s="129"/>
      <c r="J304" s="130"/>
      <c r="K304" s="131"/>
      <c r="N304" s="134"/>
      <c r="O304" s="135"/>
      <c r="P304" s="136"/>
    </row>
    <row r="305" spans="8:16" ht="14.5" x14ac:dyDescent="0.35">
      <c r="H305" s="129"/>
      <c r="I305" s="129"/>
      <c r="J305" s="130"/>
      <c r="K305" s="131"/>
      <c r="N305" s="134"/>
      <c r="O305" s="135"/>
      <c r="P305" s="136"/>
    </row>
    <row r="306" spans="8:16" ht="14.5" x14ac:dyDescent="0.35">
      <c r="H306" s="129"/>
      <c r="I306" s="129"/>
      <c r="J306" s="130"/>
      <c r="K306" s="131"/>
      <c r="N306" s="134"/>
      <c r="O306" s="135"/>
      <c r="P306" s="136"/>
    </row>
    <row r="307" spans="8:16" ht="14.5" x14ac:dyDescent="0.35">
      <c r="H307" s="129"/>
      <c r="I307" s="129"/>
      <c r="J307" s="130"/>
      <c r="K307" s="131"/>
      <c r="N307" s="134"/>
      <c r="O307" s="135"/>
      <c r="P307" s="136"/>
    </row>
    <row r="308" spans="8:16" ht="14.5" x14ac:dyDescent="0.35">
      <c r="H308" s="129"/>
      <c r="I308" s="129"/>
      <c r="J308" s="130"/>
      <c r="K308" s="131"/>
      <c r="N308" s="134"/>
      <c r="O308" s="135"/>
      <c r="P308" s="136"/>
    </row>
    <row r="309" spans="8:16" ht="14.5" x14ac:dyDescent="0.35">
      <c r="H309" s="129"/>
      <c r="I309" s="129"/>
      <c r="J309" s="130"/>
      <c r="K309" s="131"/>
      <c r="N309" s="134"/>
      <c r="O309" s="135"/>
      <c r="P309" s="136"/>
    </row>
    <row r="310" spans="8:16" ht="14.5" x14ac:dyDescent="0.35">
      <c r="H310" s="129"/>
      <c r="I310" s="129"/>
      <c r="J310" s="130"/>
      <c r="K310" s="131"/>
      <c r="N310" s="134"/>
      <c r="O310" s="135"/>
      <c r="P310" s="136"/>
    </row>
    <row r="311" spans="8:16" ht="14.5" x14ac:dyDescent="0.35">
      <c r="H311" s="129"/>
      <c r="I311" s="129"/>
      <c r="J311" s="130"/>
      <c r="K311" s="131"/>
      <c r="N311" s="134"/>
      <c r="O311" s="135"/>
      <c r="P311" s="136"/>
    </row>
    <row r="312" spans="8:16" ht="14.5" x14ac:dyDescent="0.35">
      <c r="H312" s="129"/>
      <c r="I312" s="129"/>
      <c r="J312" s="130"/>
      <c r="K312" s="131"/>
      <c r="N312" s="134"/>
      <c r="O312" s="135"/>
      <c r="P312" s="136"/>
    </row>
    <row r="313" spans="8:16" ht="14.5" x14ac:dyDescent="0.35">
      <c r="H313" s="129"/>
      <c r="I313" s="129"/>
      <c r="J313" s="130"/>
      <c r="K313" s="131"/>
      <c r="N313" s="134"/>
      <c r="O313" s="135"/>
      <c r="P313" s="136"/>
    </row>
    <row r="314" spans="8:16" ht="14.5" x14ac:dyDescent="0.35">
      <c r="H314" s="129"/>
      <c r="I314" s="129"/>
      <c r="J314" s="130"/>
      <c r="K314" s="131"/>
      <c r="N314" s="134"/>
      <c r="O314" s="135"/>
      <c r="P314" s="136"/>
    </row>
    <row r="315" spans="8:16" ht="14.5" x14ac:dyDescent="0.35">
      <c r="H315" s="129"/>
      <c r="I315" s="129"/>
      <c r="J315" s="130"/>
      <c r="K315" s="131"/>
      <c r="N315" s="134"/>
      <c r="O315" s="135"/>
      <c r="P315" s="136"/>
    </row>
    <row r="316" spans="8:16" ht="14.5" x14ac:dyDescent="0.35">
      <c r="H316" s="129"/>
      <c r="I316" s="129"/>
      <c r="J316" s="130"/>
      <c r="K316" s="131"/>
      <c r="N316" s="134"/>
      <c r="O316" s="135"/>
      <c r="P316" s="136"/>
    </row>
    <row r="317" spans="8:16" ht="14.5" x14ac:dyDescent="0.35">
      <c r="H317" s="129"/>
      <c r="I317" s="129"/>
      <c r="J317" s="130"/>
      <c r="K317" s="131"/>
      <c r="N317" s="134"/>
      <c r="O317" s="135"/>
      <c r="P317" s="136"/>
    </row>
    <row r="318" spans="8:16" ht="14.5" x14ac:dyDescent="0.35">
      <c r="H318" s="129"/>
      <c r="I318" s="129"/>
      <c r="J318" s="130"/>
      <c r="K318" s="131"/>
      <c r="N318" s="134"/>
      <c r="O318" s="135"/>
      <c r="P318" s="136"/>
    </row>
    <row r="319" spans="8:16" ht="14.5" x14ac:dyDescent="0.35">
      <c r="H319" s="129"/>
      <c r="I319" s="129"/>
      <c r="J319" s="130"/>
      <c r="K319" s="131"/>
      <c r="N319" s="134"/>
      <c r="O319" s="135"/>
      <c r="P319" s="136"/>
    </row>
    <row r="320" spans="8:16" ht="14.5" x14ac:dyDescent="0.35">
      <c r="H320" s="129"/>
      <c r="I320" s="129"/>
      <c r="J320" s="130"/>
      <c r="K320" s="131"/>
      <c r="N320" s="134"/>
      <c r="O320" s="135"/>
      <c r="P320" s="136"/>
    </row>
    <row r="321" spans="8:16" ht="14.5" x14ac:dyDescent="0.35">
      <c r="H321" s="129"/>
      <c r="I321" s="129"/>
      <c r="J321" s="130"/>
      <c r="K321" s="131"/>
      <c r="N321" s="134"/>
      <c r="O321" s="135"/>
      <c r="P321" s="136"/>
    </row>
    <row r="322" spans="8:16" ht="14.5" x14ac:dyDescent="0.35">
      <c r="H322" s="129"/>
      <c r="I322" s="129"/>
      <c r="J322" s="130"/>
      <c r="K322" s="131"/>
      <c r="N322" s="134"/>
      <c r="O322" s="135"/>
      <c r="P322" s="136"/>
    </row>
    <row r="323" spans="8:16" ht="14.5" x14ac:dyDescent="0.35">
      <c r="H323" s="129"/>
      <c r="I323" s="129"/>
      <c r="J323" s="130"/>
      <c r="K323" s="131"/>
      <c r="N323" s="134"/>
      <c r="O323" s="135"/>
      <c r="P323" s="136"/>
    </row>
    <row r="324" spans="8:16" ht="14.5" x14ac:dyDescent="0.35">
      <c r="H324" s="129"/>
      <c r="I324" s="129"/>
      <c r="J324" s="130"/>
      <c r="K324" s="131"/>
      <c r="N324" s="134"/>
      <c r="O324" s="135"/>
      <c r="P324" s="136"/>
    </row>
    <row r="325" spans="8:16" ht="14.5" x14ac:dyDescent="0.35">
      <c r="H325" s="129"/>
      <c r="I325" s="129"/>
      <c r="J325" s="130"/>
      <c r="K325" s="131"/>
      <c r="N325" s="134"/>
      <c r="O325" s="135"/>
      <c r="P325" s="136"/>
    </row>
    <row r="326" spans="8:16" ht="14.5" x14ac:dyDescent="0.35">
      <c r="H326" s="129"/>
      <c r="I326" s="129"/>
      <c r="J326" s="130"/>
      <c r="K326" s="131"/>
      <c r="N326" s="134"/>
      <c r="O326" s="135"/>
      <c r="P326" s="136"/>
    </row>
    <row r="327" spans="8:16" ht="14.5" x14ac:dyDescent="0.35">
      <c r="H327" s="129"/>
      <c r="I327" s="129"/>
      <c r="J327" s="130"/>
      <c r="K327" s="131"/>
      <c r="N327" s="134"/>
      <c r="O327" s="135"/>
      <c r="P327" s="136"/>
    </row>
    <row r="328" spans="8:16" ht="14.5" x14ac:dyDescent="0.35">
      <c r="H328" s="129"/>
      <c r="I328" s="129"/>
      <c r="J328" s="130"/>
      <c r="K328" s="131"/>
      <c r="N328" s="134"/>
      <c r="O328" s="135"/>
      <c r="P328" s="136"/>
    </row>
    <row r="329" spans="8:16" ht="14.5" x14ac:dyDescent="0.35">
      <c r="H329" s="129"/>
      <c r="I329" s="129"/>
      <c r="J329" s="130"/>
      <c r="K329" s="131"/>
      <c r="N329" s="134"/>
      <c r="O329" s="135"/>
      <c r="P329" s="136"/>
    </row>
    <row r="330" spans="8:16" ht="14.5" x14ac:dyDescent="0.35">
      <c r="H330" s="129"/>
      <c r="I330" s="129"/>
      <c r="J330" s="130"/>
      <c r="K330" s="131"/>
      <c r="N330" s="134"/>
      <c r="O330" s="135"/>
      <c r="P330" s="136"/>
    </row>
    <row r="331" spans="8:16" ht="14.5" x14ac:dyDescent="0.35">
      <c r="H331" s="129"/>
      <c r="I331" s="129"/>
      <c r="J331" s="130"/>
      <c r="K331" s="131"/>
      <c r="N331" s="134"/>
      <c r="O331" s="135"/>
      <c r="P331" s="136"/>
    </row>
    <row r="332" spans="8:16" ht="14.5" x14ac:dyDescent="0.35">
      <c r="H332" s="129"/>
      <c r="I332" s="129"/>
      <c r="J332" s="130"/>
      <c r="K332" s="131"/>
      <c r="N332" s="134"/>
      <c r="O332" s="135"/>
      <c r="P332" s="136"/>
    </row>
    <row r="333" spans="8:16" ht="14.5" x14ac:dyDescent="0.35">
      <c r="H333" s="129"/>
      <c r="I333" s="129"/>
      <c r="J333" s="130"/>
      <c r="K333" s="131"/>
      <c r="N333" s="134"/>
      <c r="O333" s="135"/>
      <c r="P333" s="136"/>
    </row>
    <row r="334" spans="8:16" ht="14.5" x14ac:dyDescent="0.35">
      <c r="H334" s="129"/>
      <c r="I334" s="129"/>
      <c r="J334" s="130"/>
      <c r="K334" s="131"/>
      <c r="N334" s="134"/>
      <c r="O334" s="135"/>
      <c r="P334" s="136"/>
    </row>
    <row r="335" spans="8:16" ht="14.5" x14ac:dyDescent="0.35">
      <c r="H335" s="129"/>
      <c r="I335" s="129"/>
      <c r="J335" s="130"/>
      <c r="K335" s="131"/>
      <c r="N335" s="134"/>
      <c r="O335" s="135"/>
      <c r="P335" s="136"/>
    </row>
    <row r="336" spans="8:16" ht="14.5" x14ac:dyDescent="0.35">
      <c r="H336" s="129"/>
      <c r="I336" s="129"/>
      <c r="J336" s="130"/>
      <c r="K336" s="131"/>
      <c r="N336" s="134"/>
      <c r="O336" s="135"/>
      <c r="P336" s="136"/>
    </row>
    <row r="337" spans="8:16" ht="14.5" x14ac:dyDescent="0.35">
      <c r="H337" s="129"/>
      <c r="I337" s="129"/>
      <c r="J337" s="130"/>
      <c r="K337" s="131"/>
      <c r="N337" s="134"/>
      <c r="O337" s="135"/>
      <c r="P337" s="136"/>
    </row>
    <row r="338" spans="8:16" ht="14.5" x14ac:dyDescent="0.35">
      <c r="H338" s="129"/>
      <c r="I338" s="129"/>
      <c r="J338" s="130"/>
      <c r="K338" s="131"/>
      <c r="N338" s="134"/>
      <c r="O338" s="135"/>
      <c r="P338" s="136"/>
    </row>
    <row r="339" spans="8:16" ht="14.5" x14ac:dyDescent="0.35">
      <c r="H339" s="129"/>
      <c r="I339" s="129"/>
      <c r="J339" s="130"/>
      <c r="K339" s="131"/>
      <c r="N339" s="134"/>
      <c r="O339" s="135"/>
      <c r="P339" s="136"/>
    </row>
    <row r="340" spans="8:16" ht="14.5" x14ac:dyDescent="0.35">
      <c r="H340" s="129"/>
      <c r="I340" s="129"/>
      <c r="J340" s="130"/>
      <c r="K340" s="131"/>
      <c r="N340" s="134"/>
      <c r="O340" s="135"/>
      <c r="P340" s="136"/>
    </row>
    <row r="341" spans="8:16" ht="14.5" x14ac:dyDescent="0.35">
      <c r="H341" s="129"/>
      <c r="I341" s="129"/>
      <c r="J341" s="130"/>
      <c r="K341" s="131"/>
      <c r="N341" s="134"/>
      <c r="O341" s="135"/>
      <c r="P341" s="136"/>
    </row>
    <row r="342" spans="8:16" ht="14.5" x14ac:dyDescent="0.35">
      <c r="H342" s="129"/>
      <c r="I342" s="129"/>
      <c r="J342" s="130"/>
      <c r="K342" s="131"/>
      <c r="N342" s="134"/>
      <c r="O342" s="135"/>
      <c r="P342" s="136"/>
    </row>
    <row r="343" spans="8:16" ht="14.5" x14ac:dyDescent="0.35">
      <c r="H343" s="129"/>
      <c r="I343" s="129"/>
      <c r="J343" s="130"/>
      <c r="K343" s="131"/>
      <c r="N343" s="134"/>
      <c r="O343" s="135"/>
      <c r="P343" s="136"/>
    </row>
    <row r="344" spans="8:16" ht="14.5" x14ac:dyDescent="0.35">
      <c r="H344" s="129"/>
      <c r="I344" s="129"/>
      <c r="J344" s="130"/>
      <c r="K344" s="131"/>
      <c r="N344" s="134"/>
      <c r="O344" s="135"/>
      <c r="P344" s="136"/>
    </row>
    <row r="345" spans="8:16" ht="14.5" x14ac:dyDescent="0.35">
      <c r="H345" s="129"/>
      <c r="I345" s="129"/>
      <c r="J345" s="130"/>
      <c r="K345" s="131"/>
      <c r="N345" s="134"/>
      <c r="O345" s="135"/>
      <c r="P345" s="136"/>
    </row>
    <row r="346" spans="8:16" ht="14.5" x14ac:dyDescent="0.35">
      <c r="H346" s="129"/>
      <c r="I346" s="129"/>
      <c r="J346" s="130"/>
      <c r="K346" s="131"/>
      <c r="N346" s="134"/>
      <c r="O346" s="135"/>
      <c r="P346" s="136"/>
    </row>
    <row r="347" spans="8:16" ht="14.5" x14ac:dyDescent="0.35">
      <c r="H347" s="129"/>
      <c r="I347" s="129"/>
      <c r="J347" s="130"/>
      <c r="K347" s="131"/>
      <c r="N347" s="134"/>
      <c r="O347" s="135"/>
      <c r="P347" s="136"/>
    </row>
    <row r="348" spans="8:16" ht="14.5" x14ac:dyDescent="0.35">
      <c r="H348" s="129"/>
      <c r="I348" s="129"/>
      <c r="J348" s="130"/>
      <c r="K348" s="131"/>
      <c r="N348" s="134"/>
      <c r="O348" s="135"/>
      <c r="P348" s="136"/>
    </row>
    <row r="349" spans="8:16" ht="14.5" x14ac:dyDescent="0.35">
      <c r="H349" s="129"/>
      <c r="I349" s="129"/>
      <c r="J349" s="130"/>
      <c r="K349" s="131"/>
      <c r="N349" s="134"/>
      <c r="O349" s="135"/>
      <c r="P349" s="136"/>
    </row>
    <row r="350" spans="8:16" ht="14.5" x14ac:dyDescent="0.35">
      <c r="H350" s="129"/>
      <c r="I350" s="129"/>
      <c r="J350" s="130"/>
      <c r="K350" s="131"/>
      <c r="N350" s="134"/>
      <c r="O350" s="135"/>
      <c r="P350" s="136"/>
    </row>
    <row r="351" spans="8:16" ht="14.5" x14ac:dyDescent="0.35">
      <c r="H351" s="129"/>
      <c r="I351" s="129"/>
      <c r="J351" s="130"/>
      <c r="K351" s="131"/>
      <c r="N351" s="134"/>
      <c r="O351" s="135"/>
      <c r="P351" s="136"/>
    </row>
    <row r="352" spans="8:16" ht="14.5" x14ac:dyDescent="0.35">
      <c r="H352" s="129"/>
      <c r="I352" s="129"/>
      <c r="J352" s="130"/>
      <c r="K352" s="131"/>
      <c r="N352" s="134"/>
      <c r="O352" s="135"/>
      <c r="P352" s="136"/>
    </row>
    <row r="353" spans="8:16" ht="14.5" x14ac:dyDescent="0.35">
      <c r="H353" s="129"/>
      <c r="I353" s="129"/>
      <c r="J353" s="130"/>
      <c r="K353" s="131"/>
      <c r="N353" s="134"/>
      <c r="O353" s="135"/>
      <c r="P353" s="136"/>
    </row>
    <row r="354" spans="8:16" ht="14.5" x14ac:dyDescent="0.35">
      <c r="H354" s="129"/>
      <c r="I354" s="129"/>
      <c r="J354" s="130"/>
      <c r="K354" s="131"/>
      <c r="N354" s="134"/>
      <c r="O354" s="135"/>
      <c r="P354" s="136"/>
    </row>
    <row r="355" spans="8:16" ht="14.5" x14ac:dyDescent="0.35">
      <c r="H355" s="129"/>
      <c r="I355" s="129"/>
      <c r="J355" s="130"/>
      <c r="K355" s="131"/>
      <c r="N355" s="134"/>
      <c r="O355" s="135"/>
      <c r="P355" s="136"/>
    </row>
    <row r="356" spans="8:16" ht="14.5" x14ac:dyDescent="0.35">
      <c r="H356" s="129"/>
      <c r="I356" s="129"/>
      <c r="J356" s="130"/>
      <c r="K356" s="131"/>
      <c r="N356" s="134"/>
      <c r="O356" s="135"/>
      <c r="P356" s="136"/>
    </row>
    <row r="357" spans="8:16" ht="14.5" x14ac:dyDescent="0.35">
      <c r="H357" s="129"/>
      <c r="I357" s="129"/>
      <c r="J357" s="130"/>
      <c r="K357" s="131"/>
      <c r="N357" s="134"/>
      <c r="O357" s="135"/>
      <c r="P357" s="136"/>
    </row>
    <row r="358" spans="8:16" ht="14.5" x14ac:dyDescent="0.35">
      <c r="H358" s="129"/>
      <c r="I358" s="129"/>
      <c r="J358" s="130"/>
      <c r="K358" s="131"/>
      <c r="N358" s="134"/>
      <c r="O358" s="135"/>
      <c r="P358" s="136"/>
    </row>
    <row r="359" spans="8:16" ht="14.5" x14ac:dyDescent="0.35">
      <c r="H359" s="129"/>
      <c r="I359" s="129"/>
      <c r="J359" s="130"/>
      <c r="K359" s="131"/>
      <c r="N359" s="134"/>
      <c r="O359" s="135"/>
      <c r="P359" s="136"/>
    </row>
    <row r="360" spans="8:16" ht="14.5" x14ac:dyDescent="0.35">
      <c r="H360" s="129"/>
      <c r="I360" s="129"/>
      <c r="J360" s="130"/>
      <c r="K360" s="131"/>
      <c r="N360" s="134"/>
      <c r="O360" s="135"/>
      <c r="P360" s="136"/>
    </row>
    <row r="361" spans="8:16" ht="14.5" x14ac:dyDescent="0.35">
      <c r="H361" s="129"/>
      <c r="I361" s="129"/>
      <c r="J361" s="130"/>
      <c r="K361" s="131"/>
      <c r="N361" s="134"/>
      <c r="O361" s="135"/>
      <c r="P361" s="136"/>
    </row>
    <row r="362" spans="8:16" ht="14.5" x14ac:dyDescent="0.35">
      <c r="H362" s="129"/>
      <c r="I362" s="129"/>
      <c r="J362" s="130"/>
      <c r="K362" s="131"/>
      <c r="N362" s="134"/>
      <c r="O362" s="135"/>
      <c r="P362" s="136"/>
    </row>
    <row r="363" spans="8:16" ht="14.5" x14ac:dyDescent="0.35">
      <c r="H363" s="129"/>
      <c r="I363" s="129"/>
      <c r="J363" s="130"/>
      <c r="K363" s="131"/>
      <c r="N363" s="134"/>
      <c r="O363" s="135"/>
      <c r="P363" s="136"/>
    </row>
    <row r="364" spans="8:16" ht="14.5" x14ac:dyDescent="0.35">
      <c r="H364" s="129"/>
      <c r="I364" s="129"/>
      <c r="J364" s="130"/>
      <c r="K364" s="131"/>
      <c r="N364" s="134"/>
      <c r="O364" s="135"/>
      <c r="P364" s="136"/>
    </row>
    <row r="365" spans="8:16" ht="14.5" x14ac:dyDescent="0.35">
      <c r="H365" s="129"/>
      <c r="I365" s="129"/>
      <c r="J365" s="130"/>
      <c r="K365" s="131"/>
      <c r="N365" s="134"/>
      <c r="O365" s="135"/>
      <c r="P365" s="136"/>
    </row>
    <row r="366" spans="8:16" ht="14.5" x14ac:dyDescent="0.35">
      <c r="H366" s="129"/>
      <c r="I366" s="129"/>
      <c r="J366" s="130"/>
      <c r="K366" s="131"/>
      <c r="N366" s="134"/>
      <c r="O366" s="135"/>
      <c r="P366" s="136"/>
    </row>
    <row r="367" spans="8:16" ht="14.5" x14ac:dyDescent="0.35">
      <c r="H367" s="129"/>
      <c r="I367" s="129"/>
      <c r="J367" s="130"/>
      <c r="K367" s="131"/>
      <c r="N367" s="134"/>
      <c r="O367" s="135"/>
      <c r="P367" s="136"/>
    </row>
    <row r="368" spans="8:16" ht="14.5" x14ac:dyDescent="0.35">
      <c r="H368" s="129"/>
      <c r="I368" s="129"/>
      <c r="J368" s="130"/>
      <c r="K368" s="131"/>
      <c r="N368" s="134"/>
      <c r="O368" s="135"/>
      <c r="P368" s="136"/>
    </row>
    <row r="369" spans="8:16" ht="14.5" x14ac:dyDescent="0.35">
      <c r="H369" s="129"/>
      <c r="I369" s="129"/>
      <c r="J369" s="130"/>
      <c r="K369" s="131"/>
      <c r="N369" s="134"/>
      <c r="O369" s="135"/>
      <c r="P369" s="136"/>
    </row>
    <row r="370" spans="8:16" ht="14.5" x14ac:dyDescent="0.35">
      <c r="H370" s="129"/>
      <c r="I370" s="129"/>
      <c r="J370" s="130"/>
      <c r="K370" s="131"/>
      <c r="N370" s="134"/>
      <c r="O370" s="135"/>
      <c r="P370" s="136"/>
    </row>
    <row r="371" spans="8:16" ht="14.5" x14ac:dyDescent="0.35">
      <c r="H371" s="129"/>
      <c r="I371" s="129"/>
      <c r="J371" s="130"/>
      <c r="K371" s="131"/>
      <c r="N371" s="134"/>
      <c r="O371" s="135"/>
      <c r="P371" s="136"/>
    </row>
    <row r="372" spans="8:16" ht="14.5" x14ac:dyDescent="0.35">
      <c r="H372" s="129"/>
      <c r="I372" s="129"/>
      <c r="J372" s="130"/>
      <c r="K372" s="131"/>
      <c r="N372" s="134"/>
      <c r="O372" s="135"/>
      <c r="P372" s="136"/>
    </row>
    <row r="373" spans="8:16" ht="14.5" x14ac:dyDescent="0.35">
      <c r="H373" s="129"/>
      <c r="I373" s="129"/>
      <c r="J373" s="130"/>
      <c r="K373" s="131"/>
      <c r="N373" s="134"/>
      <c r="O373" s="135"/>
      <c r="P373" s="136"/>
    </row>
    <row r="374" spans="8:16" ht="14.5" x14ac:dyDescent="0.35">
      <c r="H374" s="129"/>
      <c r="I374" s="129"/>
      <c r="J374" s="130"/>
      <c r="K374" s="131"/>
      <c r="N374" s="134"/>
      <c r="O374" s="135"/>
      <c r="P374" s="136"/>
    </row>
    <row r="375" spans="8:16" ht="14.5" x14ac:dyDescent="0.35">
      <c r="H375" s="129"/>
      <c r="I375" s="129"/>
      <c r="J375" s="130"/>
      <c r="K375" s="131"/>
      <c r="N375" s="134"/>
      <c r="O375" s="135"/>
      <c r="P375" s="136"/>
    </row>
    <row r="376" spans="8:16" ht="14.5" x14ac:dyDescent="0.35">
      <c r="H376" s="129"/>
      <c r="I376" s="129"/>
      <c r="J376" s="130"/>
      <c r="K376" s="131"/>
      <c r="N376" s="134"/>
      <c r="O376" s="135"/>
      <c r="P376" s="136"/>
    </row>
    <row r="377" spans="8:16" ht="14.5" x14ac:dyDescent="0.35">
      <c r="H377" s="129"/>
      <c r="I377" s="129"/>
      <c r="J377" s="130"/>
      <c r="K377" s="131"/>
      <c r="N377" s="134"/>
      <c r="O377" s="135"/>
      <c r="P377" s="136"/>
    </row>
    <row r="378" spans="8:16" ht="14.5" x14ac:dyDescent="0.35">
      <c r="H378" s="129"/>
      <c r="I378" s="129"/>
      <c r="J378" s="130"/>
      <c r="K378" s="131"/>
      <c r="N378" s="134"/>
      <c r="O378" s="135"/>
      <c r="P378" s="136"/>
    </row>
    <row r="379" spans="8:16" ht="14.5" x14ac:dyDescent="0.35">
      <c r="H379" s="129"/>
      <c r="I379" s="129"/>
      <c r="J379" s="130"/>
      <c r="K379" s="131"/>
      <c r="N379" s="134"/>
      <c r="O379" s="135"/>
      <c r="P379" s="136"/>
    </row>
    <row r="380" spans="8:16" ht="14.5" x14ac:dyDescent="0.35">
      <c r="H380" s="129"/>
      <c r="I380" s="129"/>
      <c r="J380" s="130"/>
      <c r="K380" s="131"/>
      <c r="N380" s="134"/>
      <c r="O380" s="135"/>
      <c r="P380" s="136"/>
    </row>
    <row r="381" spans="8:16" ht="14.5" x14ac:dyDescent="0.35">
      <c r="H381" s="129"/>
      <c r="I381" s="129"/>
      <c r="J381" s="130"/>
      <c r="K381" s="131"/>
      <c r="N381" s="134"/>
      <c r="O381" s="135"/>
      <c r="P381" s="136"/>
    </row>
    <row r="382" spans="8:16" ht="14.5" x14ac:dyDescent="0.35">
      <c r="H382" s="129"/>
      <c r="I382" s="129"/>
      <c r="J382" s="130"/>
      <c r="K382" s="131"/>
      <c r="N382" s="134"/>
      <c r="O382" s="135"/>
      <c r="P382" s="136"/>
    </row>
    <row r="383" spans="8:16" ht="14.5" x14ac:dyDescent="0.35">
      <c r="H383" s="129"/>
      <c r="I383" s="129"/>
      <c r="J383" s="130"/>
      <c r="K383" s="131"/>
      <c r="N383" s="134"/>
      <c r="O383" s="135"/>
      <c r="P383" s="136"/>
    </row>
    <row r="384" spans="8:16" ht="14.5" x14ac:dyDescent="0.35">
      <c r="H384" s="129"/>
      <c r="I384" s="129"/>
      <c r="J384" s="130"/>
      <c r="K384" s="131"/>
      <c r="N384" s="134"/>
      <c r="O384" s="135"/>
      <c r="P384" s="136"/>
    </row>
    <row r="385" spans="8:16" ht="14.5" x14ac:dyDescent="0.35">
      <c r="H385" s="129"/>
      <c r="I385" s="129"/>
      <c r="J385" s="130"/>
      <c r="K385" s="131"/>
      <c r="N385" s="134"/>
      <c r="O385" s="135"/>
      <c r="P385" s="136"/>
    </row>
    <row r="386" spans="8:16" ht="14.5" x14ac:dyDescent="0.35">
      <c r="H386" s="129"/>
      <c r="I386" s="129"/>
      <c r="J386" s="130"/>
      <c r="K386" s="131"/>
      <c r="N386" s="134"/>
      <c r="O386" s="135"/>
      <c r="P386" s="136"/>
    </row>
    <row r="387" spans="8:16" ht="14.5" x14ac:dyDescent="0.35">
      <c r="H387" s="129"/>
      <c r="I387" s="129"/>
      <c r="J387" s="130"/>
      <c r="K387" s="131"/>
      <c r="N387" s="134"/>
      <c r="O387" s="135"/>
      <c r="P387" s="136"/>
    </row>
    <row r="388" spans="8:16" ht="14.5" x14ac:dyDescent="0.35">
      <c r="H388" s="129"/>
      <c r="I388" s="129"/>
      <c r="J388" s="130"/>
      <c r="K388" s="131"/>
      <c r="N388" s="134"/>
      <c r="O388" s="135"/>
      <c r="P388" s="136"/>
    </row>
    <row r="389" spans="8:16" ht="14.5" x14ac:dyDescent="0.35">
      <c r="H389" s="129"/>
      <c r="I389" s="129"/>
      <c r="J389" s="130"/>
      <c r="K389" s="131"/>
      <c r="N389" s="134"/>
      <c r="O389" s="135"/>
      <c r="P389" s="136"/>
    </row>
    <row r="390" spans="8:16" ht="14.5" x14ac:dyDescent="0.35">
      <c r="H390" s="129"/>
      <c r="I390" s="129"/>
      <c r="J390" s="130"/>
      <c r="K390" s="131"/>
      <c r="N390" s="134"/>
      <c r="O390" s="135"/>
      <c r="P390" s="136"/>
    </row>
    <row r="391" spans="8:16" ht="14.5" x14ac:dyDescent="0.35">
      <c r="H391" s="129"/>
      <c r="I391" s="129"/>
      <c r="J391" s="130"/>
      <c r="K391" s="131"/>
      <c r="N391" s="134"/>
      <c r="O391" s="135"/>
      <c r="P391" s="136"/>
    </row>
    <row r="392" spans="8:16" ht="14.5" x14ac:dyDescent="0.35">
      <c r="H392" s="129"/>
      <c r="I392" s="129"/>
      <c r="J392" s="130"/>
      <c r="K392" s="131"/>
      <c r="N392" s="134"/>
      <c r="O392" s="135"/>
      <c r="P392" s="136"/>
    </row>
    <row r="393" spans="8:16" ht="14.5" x14ac:dyDescent="0.35">
      <c r="H393" s="129"/>
      <c r="I393" s="129"/>
      <c r="J393" s="130"/>
      <c r="K393" s="131"/>
      <c r="N393" s="134"/>
      <c r="O393" s="135"/>
      <c r="P393" s="136"/>
    </row>
    <row r="394" spans="8:16" ht="14.5" x14ac:dyDescent="0.35">
      <c r="H394" s="129"/>
      <c r="I394" s="129"/>
      <c r="J394" s="130"/>
      <c r="K394" s="131"/>
      <c r="N394" s="134"/>
      <c r="O394" s="135"/>
      <c r="P394" s="136"/>
    </row>
    <row r="395" spans="8:16" ht="14.5" x14ac:dyDescent="0.35">
      <c r="H395" s="129"/>
      <c r="I395" s="129"/>
      <c r="J395" s="130"/>
      <c r="K395" s="131"/>
      <c r="N395" s="134"/>
      <c r="O395" s="135"/>
      <c r="P395" s="136"/>
    </row>
    <row r="396" spans="8:16" ht="14.5" x14ac:dyDescent="0.35">
      <c r="H396" s="129"/>
      <c r="I396" s="129"/>
      <c r="J396" s="130"/>
      <c r="K396" s="131"/>
      <c r="N396" s="134"/>
      <c r="O396" s="135"/>
      <c r="P396" s="136"/>
    </row>
    <row r="397" spans="8:16" ht="14.5" x14ac:dyDescent="0.35">
      <c r="H397" s="129"/>
      <c r="I397" s="129"/>
      <c r="J397" s="130"/>
      <c r="K397" s="131"/>
      <c r="N397" s="134"/>
      <c r="O397" s="135"/>
      <c r="P397" s="136"/>
    </row>
    <row r="398" spans="8:16" ht="14.5" x14ac:dyDescent="0.35">
      <c r="H398" s="129"/>
      <c r="I398" s="129"/>
      <c r="J398" s="130"/>
      <c r="K398" s="131"/>
      <c r="N398" s="134"/>
      <c r="O398" s="135"/>
      <c r="P398" s="136"/>
    </row>
    <row r="399" spans="8:16" ht="14.5" x14ac:dyDescent="0.35">
      <c r="H399" s="129"/>
      <c r="I399" s="129"/>
      <c r="J399" s="130"/>
      <c r="K399" s="131"/>
      <c r="N399" s="134"/>
      <c r="O399" s="135"/>
      <c r="P399" s="136"/>
    </row>
    <row r="400" spans="8:16" ht="14.5" x14ac:dyDescent="0.35">
      <c r="H400" s="129"/>
      <c r="I400" s="129"/>
      <c r="J400" s="130"/>
      <c r="K400" s="131"/>
      <c r="N400" s="134"/>
      <c r="O400" s="135"/>
      <c r="P400" s="136"/>
    </row>
    <row r="401" spans="8:16" ht="14.5" x14ac:dyDescent="0.35">
      <c r="H401" s="129"/>
      <c r="I401" s="129"/>
      <c r="J401" s="130"/>
      <c r="K401" s="131"/>
      <c r="N401" s="134"/>
      <c r="O401" s="135"/>
      <c r="P401" s="136"/>
    </row>
    <row r="402" spans="8:16" ht="14.5" x14ac:dyDescent="0.35">
      <c r="H402" s="129"/>
      <c r="I402" s="129"/>
      <c r="J402" s="130"/>
      <c r="K402" s="131"/>
      <c r="N402" s="134"/>
      <c r="O402" s="135"/>
      <c r="P402" s="136"/>
    </row>
    <row r="403" spans="8:16" ht="14.5" x14ac:dyDescent="0.35">
      <c r="H403" s="129"/>
      <c r="I403" s="129"/>
      <c r="J403" s="130"/>
      <c r="K403" s="131"/>
      <c r="N403" s="134"/>
      <c r="O403" s="135"/>
      <c r="P403" s="136"/>
    </row>
    <row r="404" spans="8:16" ht="14.5" x14ac:dyDescent="0.35">
      <c r="H404" s="129"/>
      <c r="I404" s="129"/>
      <c r="J404" s="130"/>
      <c r="K404" s="131"/>
      <c r="N404" s="134"/>
      <c r="O404" s="135"/>
      <c r="P404" s="136"/>
    </row>
    <row r="405" spans="8:16" ht="14.5" x14ac:dyDescent="0.35">
      <c r="H405" s="129"/>
      <c r="I405" s="129"/>
      <c r="J405" s="130"/>
      <c r="K405" s="131"/>
      <c r="N405" s="134"/>
      <c r="O405" s="135"/>
      <c r="P405" s="136"/>
    </row>
    <row r="406" spans="8:16" ht="14.5" x14ac:dyDescent="0.35">
      <c r="H406" s="129"/>
      <c r="I406" s="129"/>
      <c r="J406" s="130"/>
      <c r="K406" s="131"/>
      <c r="N406" s="134"/>
      <c r="O406" s="135"/>
      <c r="P406" s="136"/>
    </row>
    <row r="407" spans="8:16" ht="14.5" x14ac:dyDescent="0.35">
      <c r="H407" s="129"/>
      <c r="I407" s="129"/>
      <c r="J407" s="130"/>
      <c r="K407" s="131"/>
      <c r="N407" s="134"/>
      <c r="O407" s="135"/>
      <c r="P407" s="136"/>
    </row>
    <row r="408" spans="8:16" ht="14.5" x14ac:dyDescent="0.35">
      <c r="H408" s="129"/>
      <c r="I408" s="129"/>
      <c r="J408" s="130"/>
      <c r="K408" s="131"/>
      <c r="N408" s="134"/>
      <c r="O408" s="135"/>
      <c r="P408" s="136"/>
    </row>
    <row r="409" spans="8:16" ht="14.5" x14ac:dyDescent="0.35">
      <c r="H409" s="129"/>
      <c r="I409" s="129"/>
      <c r="J409" s="130"/>
      <c r="K409" s="131"/>
      <c r="N409" s="134"/>
      <c r="O409" s="135"/>
      <c r="P409" s="136"/>
    </row>
    <row r="410" spans="8:16" ht="14.5" x14ac:dyDescent="0.35">
      <c r="H410" s="129"/>
      <c r="I410" s="129"/>
      <c r="J410" s="130"/>
      <c r="K410" s="131"/>
      <c r="N410" s="134"/>
      <c r="O410" s="135"/>
      <c r="P410" s="136"/>
    </row>
    <row r="411" spans="8:16" ht="14.5" x14ac:dyDescent="0.35">
      <c r="H411" s="129"/>
      <c r="I411" s="129"/>
      <c r="J411" s="130"/>
      <c r="K411" s="131"/>
      <c r="N411" s="134"/>
      <c r="O411" s="135"/>
      <c r="P411" s="136"/>
    </row>
    <row r="412" spans="8:16" ht="14.5" x14ac:dyDescent="0.35">
      <c r="H412" s="129"/>
      <c r="I412" s="129"/>
      <c r="J412" s="130"/>
      <c r="K412" s="131"/>
      <c r="N412" s="134"/>
      <c r="O412" s="135"/>
      <c r="P412" s="136"/>
    </row>
    <row r="413" spans="8:16" ht="14.5" x14ac:dyDescent="0.35">
      <c r="H413" s="129"/>
      <c r="I413" s="129"/>
      <c r="J413" s="130"/>
      <c r="K413" s="131"/>
      <c r="N413" s="134"/>
      <c r="O413" s="135"/>
      <c r="P413" s="136"/>
    </row>
    <row r="414" spans="8:16" ht="14.5" x14ac:dyDescent="0.35">
      <c r="H414" s="129"/>
      <c r="I414" s="129"/>
      <c r="J414" s="130"/>
      <c r="K414" s="131"/>
      <c r="N414" s="134"/>
      <c r="O414" s="135"/>
      <c r="P414" s="136"/>
    </row>
    <row r="415" spans="8:16" ht="14.5" x14ac:dyDescent="0.35">
      <c r="H415" s="129"/>
      <c r="I415" s="129"/>
      <c r="J415" s="130"/>
      <c r="K415" s="131"/>
      <c r="N415" s="134"/>
      <c r="O415" s="135"/>
      <c r="P415" s="136"/>
    </row>
    <row r="416" spans="8:16" ht="14.5" x14ac:dyDescent="0.35">
      <c r="H416" s="129"/>
      <c r="I416" s="129"/>
      <c r="J416" s="130"/>
      <c r="K416" s="131"/>
      <c r="N416" s="134"/>
      <c r="O416" s="135"/>
      <c r="P416" s="136"/>
    </row>
    <row r="417" spans="8:16" ht="14.5" x14ac:dyDescent="0.35">
      <c r="H417" s="129"/>
      <c r="I417" s="129"/>
      <c r="J417" s="130"/>
      <c r="K417" s="131"/>
      <c r="N417" s="134"/>
      <c r="O417" s="135"/>
      <c r="P417" s="136"/>
    </row>
    <row r="418" spans="8:16" ht="14.5" x14ac:dyDescent="0.35">
      <c r="H418" s="129"/>
      <c r="I418" s="129"/>
      <c r="J418" s="130"/>
      <c r="K418" s="131"/>
      <c r="N418" s="134"/>
      <c r="O418" s="135"/>
      <c r="P418" s="136"/>
    </row>
    <row r="419" spans="8:16" ht="14.5" x14ac:dyDescent="0.35">
      <c r="H419" s="129"/>
      <c r="I419" s="129"/>
      <c r="J419" s="130"/>
      <c r="K419" s="131"/>
      <c r="N419" s="134"/>
      <c r="O419" s="135"/>
      <c r="P419" s="136"/>
    </row>
    <row r="420" spans="8:16" ht="14.5" x14ac:dyDescent="0.35">
      <c r="H420" s="129"/>
      <c r="I420" s="129"/>
      <c r="J420" s="130"/>
      <c r="K420" s="131"/>
      <c r="N420" s="134"/>
      <c r="O420" s="135"/>
      <c r="P420" s="136"/>
    </row>
    <row r="421" spans="8:16" ht="14.5" x14ac:dyDescent="0.35">
      <c r="H421" s="129"/>
      <c r="I421" s="129"/>
      <c r="J421" s="130"/>
      <c r="K421" s="131"/>
      <c r="N421" s="134"/>
      <c r="O421" s="135"/>
      <c r="P421" s="136"/>
    </row>
    <row r="422" spans="8:16" ht="14.5" x14ac:dyDescent="0.35">
      <c r="H422" s="129"/>
      <c r="I422" s="129"/>
      <c r="J422" s="130"/>
      <c r="K422" s="131"/>
      <c r="N422" s="134"/>
      <c r="O422" s="135"/>
      <c r="P422" s="136"/>
    </row>
    <row r="423" spans="8:16" ht="14.5" x14ac:dyDescent="0.35">
      <c r="H423" s="129"/>
      <c r="I423" s="129"/>
      <c r="J423" s="130"/>
      <c r="K423" s="131"/>
      <c r="N423" s="134"/>
      <c r="O423" s="135"/>
      <c r="P423" s="136"/>
    </row>
    <row r="424" spans="8:16" ht="14.5" x14ac:dyDescent="0.35">
      <c r="H424" s="129"/>
      <c r="I424" s="129"/>
      <c r="J424" s="130"/>
      <c r="K424" s="131"/>
      <c r="N424" s="134"/>
      <c r="O424" s="135"/>
      <c r="P424" s="136"/>
    </row>
    <row r="425" spans="8:16" ht="14.5" x14ac:dyDescent="0.35">
      <c r="H425" s="129"/>
      <c r="I425" s="129"/>
      <c r="J425" s="130"/>
      <c r="K425" s="131"/>
      <c r="N425" s="134"/>
      <c r="O425" s="135"/>
      <c r="P425" s="136"/>
    </row>
    <row r="426" spans="8:16" ht="14.5" x14ac:dyDescent="0.35">
      <c r="H426" s="129"/>
      <c r="I426" s="129"/>
      <c r="J426" s="130"/>
      <c r="K426" s="131"/>
      <c r="N426" s="134"/>
      <c r="O426" s="135"/>
      <c r="P426" s="136"/>
    </row>
    <row r="427" spans="8:16" ht="14.5" x14ac:dyDescent="0.35">
      <c r="H427" s="129"/>
      <c r="I427" s="129"/>
      <c r="J427" s="130"/>
      <c r="K427" s="131"/>
      <c r="N427" s="134"/>
      <c r="O427" s="135"/>
      <c r="P427" s="136"/>
    </row>
    <row r="428" spans="8:16" ht="14.5" x14ac:dyDescent="0.35">
      <c r="H428" s="129"/>
      <c r="I428" s="129"/>
      <c r="J428" s="130"/>
      <c r="K428" s="131"/>
      <c r="N428" s="134"/>
      <c r="O428" s="135"/>
      <c r="P428" s="136"/>
    </row>
    <row r="429" spans="8:16" ht="14.5" x14ac:dyDescent="0.35">
      <c r="H429" s="129"/>
      <c r="I429" s="129"/>
      <c r="J429" s="130"/>
      <c r="K429" s="131"/>
      <c r="N429" s="134"/>
      <c r="O429" s="135"/>
      <c r="P429" s="136"/>
    </row>
    <row r="430" spans="8:16" ht="14.5" x14ac:dyDescent="0.35">
      <c r="H430" s="129"/>
      <c r="I430" s="129"/>
      <c r="J430" s="130"/>
      <c r="K430" s="131"/>
      <c r="N430" s="134"/>
      <c r="O430" s="135"/>
      <c r="P430" s="136"/>
    </row>
    <row r="431" spans="8:16" ht="14.5" x14ac:dyDescent="0.35">
      <c r="H431" s="129"/>
      <c r="I431" s="129"/>
      <c r="J431" s="130"/>
      <c r="K431" s="131"/>
      <c r="N431" s="134"/>
      <c r="O431" s="135"/>
      <c r="P431" s="136"/>
    </row>
    <row r="432" spans="8:16" ht="14.5" x14ac:dyDescent="0.35">
      <c r="H432" s="129"/>
      <c r="I432" s="129"/>
      <c r="J432" s="130"/>
      <c r="K432" s="131"/>
      <c r="N432" s="134"/>
      <c r="O432" s="135"/>
      <c r="P432" s="136"/>
    </row>
    <row r="433" spans="8:16" ht="14.5" x14ac:dyDescent="0.35">
      <c r="H433" s="129"/>
      <c r="I433" s="129"/>
      <c r="J433" s="130"/>
      <c r="K433" s="131"/>
      <c r="N433" s="134"/>
      <c r="O433" s="135"/>
      <c r="P433" s="136"/>
    </row>
    <row r="434" spans="8:16" ht="14.5" x14ac:dyDescent="0.35">
      <c r="H434" s="129"/>
      <c r="I434" s="129"/>
      <c r="J434" s="130"/>
      <c r="K434" s="131"/>
      <c r="N434" s="134"/>
      <c r="O434" s="135"/>
      <c r="P434" s="136"/>
    </row>
    <row r="435" spans="8:16" ht="14.5" x14ac:dyDescent="0.35">
      <c r="H435" s="129"/>
      <c r="I435" s="129"/>
      <c r="J435" s="130"/>
      <c r="K435" s="131"/>
      <c r="N435" s="134"/>
      <c r="O435" s="135"/>
      <c r="P435" s="136"/>
    </row>
    <row r="436" spans="8:16" ht="14.5" x14ac:dyDescent="0.35">
      <c r="H436" s="129"/>
      <c r="I436" s="129"/>
      <c r="J436" s="130"/>
      <c r="K436" s="131"/>
      <c r="N436" s="134"/>
      <c r="O436" s="135"/>
      <c r="P436" s="136"/>
    </row>
    <row r="437" spans="8:16" ht="14.5" x14ac:dyDescent="0.35">
      <c r="H437" s="129"/>
      <c r="I437" s="129"/>
      <c r="J437" s="130"/>
      <c r="K437" s="131"/>
      <c r="N437" s="134"/>
      <c r="O437" s="135"/>
      <c r="P437" s="136"/>
    </row>
    <row r="438" spans="8:16" ht="14.5" x14ac:dyDescent="0.35">
      <c r="H438" s="129"/>
      <c r="I438" s="129"/>
      <c r="J438" s="130"/>
      <c r="K438" s="131"/>
      <c r="N438" s="134"/>
      <c r="O438" s="135"/>
      <c r="P438" s="136"/>
    </row>
    <row r="439" spans="8:16" ht="14.5" x14ac:dyDescent="0.35">
      <c r="H439" s="129"/>
      <c r="I439" s="129"/>
      <c r="J439" s="130"/>
      <c r="K439" s="131"/>
      <c r="N439" s="134"/>
      <c r="O439" s="135"/>
      <c r="P439" s="136"/>
    </row>
    <row r="440" spans="8:16" ht="14.5" x14ac:dyDescent="0.35">
      <c r="H440" s="129"/>
      <c r="I440" s="129"/>
      <c r="J440" s="130"/>
      <c r="K440" s="131"/>
      <c r="N440" s="134"/>
      <c r="O440" s="135"/>
      <c r="P440" s="136"/>
    </row>
    <row r="441" spans="8:16" ht="14.5" x14ac:dyDescent="0.35">
      <c r="H441" s="129"/>
      <c r="I441" s="129"/>
      <c r="J441" s="130"/>
      <c r="K441" s="131"/>
      <c r="N441" s="134"/>
      <c r="O441" s="135"/>
      <c r="P441" s="136"/>
    </row>
    <row r="442" spans="8:16" ht="14.5" x14ac:dyDescent="0.35">
      <c r="H442" s="129"/>
      <c r="I442" s="129"/>
      <c r="J442" s="130"/>
      <c r="K442" s="131"/>
      <c r="N442" s="134"/>
      <c r="O442" s="135"/>
      <c r="P442" s="136"/>
    </row>
    <row r="443" spans="8:16" ht="14.5" x14ac:dyDescent="0.35">
      <c r="H443" s="129"/>
      <c r="I443" s="129"/>
      <c r="J443" s="130"/>
      <c r="K443" s="131"/>
      <c r="N443" s="134"/>
      <c r="O443" s="135"/>
      <c r="P443" s="136"/>
    </row>
    <row r="444" spans="8:16" ht="14.5" x14ac:dyDescent="0.35">
      <c r="H444" s="129"/>
      <c r="I444" s="129"/>
      <c r="J444" s="130"/>
      <c r="K444" s="131"/>
      <c r="N444" s="134"/>
      <c r="O444" s="135"/>
      <c r="P444" s="136"/>
    </row>
    <row r="445" spans="8:16" ht="14.5" x14ac:dyDescent="0.35">
      <c r="H445" s="129"/>
      <c r="I445" s="129"/>
      <c r="J445" s="130"/>
      <c r="K445" s="131"/>
      <c r="N445" s="134"/>
      <c r="O445" s="135"/>
      <c r="P445" s="136"/>
    </row>
    <row r="446" spans="8:16" ht="14.5" x14ac:dyDescent="0.35">
      <c r="H446" s="129"/>
      <c r="I446" s="129"/>
      <c r="J446" s="130"/>
      <c r="K446" s="131"/>
      <c r="N446" s="134"/>
      <c r="O446" s="135"/>
      <c r="P446" s="136"/>
    </row>
    <row r="447" spans="8:16" ht="14.5" x14ac:dyDescent="0.35">
      <c r="H447" s="129"/>
      <c r="I447" s="129"/>
      <c r="J447" s="130"/>
      <c r="K447" s="131"/>
      <c r="N447" s="134"/>
      <c r="O447" s="135"/>
      <c r="P447" s="136"/>
    </row>
    <row r="448" spans="8:16" ht="14.5" x14ac:dyDescent="0.35">
      <c r="H448" s="129"/>
      <c r="I448" s="129"/>
      <c r="J448" s="130"/>
      <c r="K448" s="131"/>
      <c r="N448" s="134"/>
      <c r="O448" s="135"/>
      <c r="P448" s="136"/>
    </row>
    <row r="449" spans="8:16" ht="14.5" x14ac:dyDescent="0.35">
      <c r="H449" s="129"/>
      <c r="I449" s="129"/>
      <c r="J449" s="130"/>
      <c r="K449" s="131"/>
      <c r="N449" s="134"/>
      <c r="O449" s="135"/>
      <c r="P449" s="136"/>
    </row>
    <row r="450" spans="8:16" ht="14.5" x14ac:dyDescent="0.35">
      <c r="H450" s="129"/>
      <c r="I450" s="129"/>
      <c r="J450" s="130"/>
      <c r="K450" s="131"/>
      <c r="N450" s="134"/>
      <c r="O450" s="135"/>
      <c r="P450" s="136"/>
    </row>
    <row r="451" spans="8:16" ht="14.5" x14ac:dyDescent="0.35">
      <c r="H451" s="129"/>
      <c r="I451" s="129"/>
      <c r="J451" s="130"/>
      <c r="K451" s="131"/>
      <c r="N451" s="134"/>
      <c r="O451" s="135"/>
      <c r="P451" s="136"/>
    </row>
    <row r="452" spans="8:16" ht="14.5" x14ac:dyDescent="0.35">
      <c r="H452" s="129"/>
      <c r="I452" s="129"/>
      <c r="J452" s="130"/>
      <c r="K452" s="131"/>
      <c r="N452" s="134"/>
      <c r="O452" s="135"/>
      <c r="P452" s="136"/>
    </row>
    <row r="453" spans="8:16" ht="14.5" x14ac:dyDescent="0.35">
      <c r="H453" s="129"/>
      <c r="I453" s="129"/>
      <c r="J453" s="130"/>
      <c r="K453" s="131"/>
      <c r="N453" s="134"/>
      <c r="O453" s="135"/>
      <c r="P453" s="136"/>
    </row>
    <row r="454" spans="8:16" ht="14.5" x14ac:dyDescent="0.35">
      <c r="H454" s="129"/>
      <c r="I454" s="129"/>
      <c r="J454" s="130"/>
      <c r="K454" s="131"/>
      <c r="N454" s="134"/>
      <c r="O454" s="135"/>
      <c r="P454" s="136"/>
    </row>
    <row r="455" spans="8:16" ht="14.5" x14ac:dyDescent="0.35">
      <c r="H455" s="129"/>
      <c r="I455" s="129"/>
      <c r="J455" s="130"/>
      <c r="K455" s="131"/>
      <c r="N455" s="134"/>
      <c r="O455" s="135"/>
      <c r="P455" s="136"/>
    </row>
    <row r="456" spans="8:16" ht="14.5" x14ac:dyDescent="0.35">
      <c r="H456" s="129"/>
      <c r="I456" s="129"/>
      <c r="J456" s="130"/>
      <c r="K456" s="131"/>
      <c r="N456" s="134"/>
      <c r="O456" s="135"/>
      <c r="P456" s="136"/>
    </row>
    <row r="457" spans="8:16" ht="14.5" x14ac:dyDescent="0.35">
      <c r="H457" s="129"/>
      <c r="I457" s="129"/>
      <c r="J457" s="130"/>
      <c r="K457" s="131"/>
      <c r="N457" s="134"/>
      <c r="O457" s="135"/>
      <c r="P457" s="136"/>
    </row>
    <row r="458" spans="8:16" ht="14.5" x14ac:dyDescent="0.35">
      <c r="H458" s="129"/>
      <c r="I458" s="129"/>
      <c r="J458" s="130"/>
      <c r="K458" s="131"/>
      <c r="N458" s="134"/>
      <c r="O458" s="135"/>
      <c r="P458" s="136"/>
    </row>
    <row r="459" spans="8:16" ht="14.5" x14ac:dyDescent="0.35">
      <c r="H459" s="129"/>
      <c r="I459" s="129"/>
      <c r="J459" s="130"/>
      <c r="K459" s="131"/>
      <c r="N459" s="134"/>
      <c r="O459" s="135"/>
      <c r="P459" s="136"/>
    </row>
    <row r="460" spans="8:16" ht="14.5" x14ac:dyDescent="0.35">
      <c r="H460" s="129"/>
      <c r="I460" s="129"/>
      <c r="J460" s="130"/>
      <c r="K460" s="131"/>
      <c r="N460" s="134"/>
      <c r="O460" s="135"/>
      <c r="P460" s="136"/>
    </row>
    <row r="461" spans="8:16" ht="14.5" x14ac:dyDescent="0.35">
      <c r="H461" s="129"/>
      <c r="I461" s="129"/>
      <c r="J461" s="130"/>
      <c r="K461" s="131"/>
      <c r="N461" s="134"/>
      <c r="O461" s="135"/>
      <c r="P461" s="136"/>
    </row>
    <row r="462" spans="8:16" ht="14.5" x14ac:dyDescent="0.35">
      <c r="H462" s="129"/>
      <c r="I462" s="129"/>
      <c r="J462" s="130"/>
      <c r="K462" s="131"/>
      <c r="N462" s="134"/>
      <c r="O462" s="135"/>
      <c r="P462" s="136"/>
    </row>
    <row r="463" spans="8:16" ht="14.5" x14ac:dyDescent="0.35">
      <c r="H463" s="129"/>
      <c r="I463" s="129"/>
      <c r="J463" s="130"/>
      <c r="K463" s="131"/>
      <c r="N463" s="134"/>
      <c r="O463" s="135"/>
      <c r="P463" s="136"/>
    </row>
    <row r="464" spans="8:16" ht="14.5" x14ac:dyDescent="0.35">
      <c r="H464" s="129"/>
      <c r="I464" s="129"/>
      <c r="J464" s="130"/>
      <c r="K464" s="131"/>
      <c r="N464" s="134"/>
      <c r="O464" s="135"/>
      <c r="P464" s="136"/>
    </row>
    <row r="465" spans="8:16" ht="14.5" x14ac:dyDescent="0.35">
      <c r="H465" s="129"/>
      <c r="I465" s="129"/>
      <c r="J465" s="130"/>
      <c r="K465" s="131"/>
      <c r="N465" s="134"/>
      <c r="O465" s="135"/>
      <c r="P465" s="136"/>
    </row>
    <row r="466" spans="8:16" ht="14.5" x14ac:dyDescent="0.35">
      <c r="H466" s="129"/>
      <c r="I466" s="129"/>
      <c r="J466" s="130"/>
      <c r="K466" s="131"/>
      <c r="N466" s="134"/>
      <c r="O466" s="135"/>
      <c r="P466" s="136"/>
    </row>
    <row r="467" spans="8:16" ht="14.5" x14ac:dyDescent="0.35">
      <c r="H467" s="129"/>
      <c r="I467" s="129"/>
      <c r="J467" s="130"/>
      <c r="K467" s="131"/>
      <c r="N467" s="134"/>
      <c r="O467" s="135"/>
      <c r="P467" s="136"/>
    </row>
    <row r="468" spans="8:16" ht="14.5" x14ac:dyDescent="0.35">
      <c r="H468" s="129"/>
      <c r="I468" s="129"/>
      <c r="J468" s="130"/>
      <c r="K468" s="131"/>
      <c r="N468" s="134"/>
      <c r="O468" s="135"/>
      <c r="P468" s="136"/>
    </row>
    <row r="469" spans="8:16" ht="14.5" x14ac:dyDescent="0.35">
      <c r="H469" s="129"/>
      <c r="I469" s="129"/>
      <c r="J469" s="130"/>
      <c r="K469" s="131"/>
      <c r="N469" s="134"/>
      <c r="O469" s="135"/>
      <c r="P469" s="136"/>
    </row>
    <row r="470" spans="8:16" ht="14.5" x14ac:dyDescent="0.35">
      <c r="H470" s="129"/>
      <c r="I470" s="129"/>
      <c r="J470" s="130"/>
      <c r="K470" s="131"/>
      <c r="N470" s="134"/>
      <c r="O470" s="135"/>
      <c r="P470" s="136"/>
    </row>
    <row r="471" spans="8:16" ht="14.5" x14ac:dyDescent="0.35">
      <c r="H471" s="129"/>
      <c r="I471" s="129"/>
      <c r="J471" s="130"/>
      <c r="K471" s="131"/>
      <c r="N471" s="134"/>
      <c r="O471" s="135"/>
      <c r="P471" s="136"/>
    </row>
    <row r="472" spans="8:16" ht="14.5" x14ac:dyDescent="0.35">
      <c r="H472" s="129"/>
      <c r="I472" s="129"/>
      <c r="J472" s="130"/>
      <c r="K472" s="131"/>
      <c r="N472" s="134"/>
      <c r="O472" s="135"/>
      <c r="P472" s="136"/>
    </row>
    <row r="473" spans="8:16" ht="14.5" x14ac:dyDescent="0.35">
      <c r="H473" s="129"/>
      <c r="I473" s="129"/>
      <c r="J473" s="130"/>
      <c r="K473" s="131"/>
      <c r="N473" s="134"/>
      <c r="O473" s="135"/>
      <c r="P473" s="136"/>
    </row>
    <row r="474" spans="8:16" ht="14.5" x14ac:dyDescent="0.35">
      <c r="H474" s="129"/>
      <c r="I474" s="129"/>
      <c r="J474" s="130"/>
      <c r="K474" s="131"/>
      <c r="N474" s="134"/>
      <c r="O474" s="135"/>
      <c r="P474" s="136"/>
    </row>
    <row r="475" spans="8:16" ht="14.5" x14ac:dyDescent="0.35">
      <c r="H475" s="129"/>
      <c r="I475" s="129"/>
      <c r="J475" s="130"/>
      <c r="K475" s="131"/>
      <c r="N475" s="134"/>
      <c r="O475" s="135"/>
      <c r="P475" s="136"/>
    </row>
    <row r="476" spans="8:16" ht="14.5" x14ac:dyDescent="0.35">
      <c r="H476" s="129"/>
      <c r="I476" s="129"/>
      <c r="J476" s="130"/>
      <c r="K476" s="131"/>
      <c r="N476" s="134"/>
      <c r="O476" s="135"/>
      <c r="P476" s="136"/>
    </row>
    <row r="477" spans="8:16" ht="14.5" x14ac:dyDescent="0.35">
      <c r="H477" s="129"/>
      <c r="I477" s="129"/>
      <c r="J477" s="130"/>
      <c r="K477" s="131"/>
      <c r="N477" s="134"/>
      <c r="O477" s="135"/>
      <c r="P477" s="136"/>
    </row>
    <row r="478" spans="8:16" ht="14.5" x14ac:dyDescent="0.35">
      <c r="H478" s="129"/>
      <c r="I478" s="129"/>
      <c r="J478" s="130"/>
      <c r="K478" s="131"/>
      <c r="N478" s="134"/>
      <c r="O478" s="135"/>
      <c r="P478" s="136"/>
    </row>
    <row r="479" spans="8:16" ht="14.5" x14ac:dyDescent="0.35">
      <c r="H479" s="129"/>
      <c r="I479" s="129"/>
      <c r="J479" s="130"/>
      <c r="K479" s="131"/>
      <c r="N479" s="134"/>
      <c r="O479" s="135"/>
      <c r="P479" s="136"/>
    </row>
    <row r="480" spans="8:16" ht="14.5" x14ac:dyDescent="0.35">
      <c r="H480" s="129"/>
      <c r="I480" s="129"/>
      <c r="J480" s="130"/>
      <c r="K480" s="131"/>
      <c r="N480" s="134"/>
      <c r="O480" s="135"/>
      <c r="P480" s="136"/>
    </row>
    <row r="481" spans="8:16" ht="14.5" x14ac:dyDescent="0.35">
      <c r="H481" s="129"/>
      <c r="I481" s="129"/>
      <c r="J481" s="130"/>
      <c r="K481" s="131"/>
      <c r="N481" s="134"/>
      <c r="O481" s="135"/>
      <c r="P481" s="136"/>
    </row>
    <row r="482" spans="8:16" ht="14.5" x14ac:dyDescent="0.35">
      <c r="H482" s="129"/>
      <c r="I482" s="129"/>
      <c r="J482" s="130"/>
      <c r="K482" s="131"/>
      <c r="N482" s="134"/>
      <c r="O482" s="135"/>
      <c r="P482" s="136"/>
    </row>
    <row r="483" spans="8:16" ht="14.5" x14ac:dyDescent="0.35">
      <c r="H483" s="129"/>
      <c r="I483" s="129"/>
      <c r="J483" s="130"/>
      <c r="K483" s="131"/>
      <c r="N483" s="134"/>
      <c r="O483" s="135"/>
      <c r="P483" s="136"/>
    </row>
    <row r="484" spans="8:16" ht="14.5" x14ac:dyDescent="0.35">
      <c r="H484" s="129"/>
      <c r="I484" s="129"/>
      <c r="J484" s="130"/>
      <c r="K484" s="131"/>
      <c r="N484" s="134"/>
      <c r="O484" s="135"/>
      <c r="P484" s="136"/>
    </row>
    <row r="485" spans="8:16" ht="14.5" x14ac:dyDescent="0.35">
      <c r="H485" s="129"/>
      <c r="I485" s="129"/>
      <c r="J485" s="130"/>
      <c r="K485" s="131"/>
      <c r="N485" s="134"/>
      <c r="O485" s="135"/>
      <c r="P485" s="136"/>
    </row>
    <row r="486" spans="8:16" ht="14.5" x14ac:dyDescent="0.35">
      <c r="H486" s="129"/>
      <c r="I486" s="129"/>
      <c r="J486" s="130"/>
      <c r="K486" s="131"/>
      <c r="N486" s="134"/>
      <c r="O486" s="135"/>
      <c r="P486" s="136"/>
    </row>
    <row r="487" spans="8:16" ht="14.5" x14ac:dyDescent="0.35">
      <c r="H487" s="129"/>
      <c r="I487" s="129"/>
      <c r="J487" s="130"/>
      <c r="K487" s="131"/>
      <c r="N487" s="134"/>
      <c r="O487" s="135"/>
      <c r="P487" s="136"/>
    </row>
    <row r="488" spans="8:16" ht="14.5" x14ac:dyDescent="0.35">
      <c r="H488" s="129"/>
      <c r="I488" s="129"/>
      <c r="J488" s="130"/>
      <c r="K488" s="131"/>
      <c r="N488" s="134"/>
      <c r="O488" s="135"/>
      <c r="P488" s="136"/>
    </row>
    <row r="489" spans="8:16" ht="14.5" x14ac:dyDescent="0.35">
      <c r="H489" s="129"/>
      <c r="I489" s="129"/>
      <c r="J489" s="130"/>
      <c r="K489" s="131"/>
      <c r="N489" s="134"/>
      <c r="O489" s="135"/>
      <c r="P489" s="136"/>
    </row>
    <row r="490" spans="8:16" ht="14.5" x14ac:dyDescent="0.35">
      <c r="H490" s="129"/>
      <c r="I490" s="129"/>
      <c r="J490" s="130"/>
      <c r="K490" s="131"/>
      <c r="N490" s="134"/>
      <c r="O490" s="135"/>
      <c r="P490" s="136"/>
    </row>
    <row r="491" spans="8:16" ht="14.5" x14ac:dyDescent="0.35">
      <c r="H491" s="129"/>
      <c r="I491" s="129"/>
      <c r="J491" s="130"/>
      <c r="K491" s="131"/>
      <c r="N491" s="134"/>
      <c r="O491" s="135"/>
      <c r="P491" s="136"/>
    </row>
    <row r="492" spans="8:16" ht="14.5" x14ac:dyDescent="0.35">
      <c r="H492" s="129"/>
      <c r="I492" s="129"/>
      <c r="J492" s="130"/>
      <c r="K492" s="131"/>
      <c r="N492" s="134"/>
      <c r="O492" s="135"/>
      <c r="P492" s="136"/>
    </row>
    <row r="493" spans="8:16" ht="14.5" x14ac:dyDescent="0.35">
      <c r="H493" s="129"/>
      <c r="I493" s="129"/>
      <c r="J493" s="130"/>
      <c r="K493" s="131"/>
      <c r="N493" s="134"/>
      <c r="O493" s="135"/>
      <c r="P493" s="136"/>
    </row>
    <row r="494" spans="8:16" ht="14.5" x14ac:dyDescent="0.35">
      <c r="H494" s="129"/>
      <c r="I494" s="129"/>
      <c r="J494" s="130"/>
      <c r="K494" s="131"/>
      <c r="N494" s="134"/>
      <c r="O494" s="135"/>
      <c r="P494" s="136"/>
    </row>
    <row r="495" spans="8:16" ht="14.5" x14ac:dyDescent="0.35">
      <c r="H495" s="129"/>
      <c r="I495" s="129"/>
      <c r="J495" s="130"/>
      <c r="K495" s="131"/>
      <c r="N495" s="134"/>
      <c r="O495" s="135"/>
      <c r="P495" s="136"/>
    </row>
    <row r="496" spans="8:16" ht="14.5" x14ac:dyDescent="0.35">
      <c r="H496" s="129"/>
      <c r="I496" s="129"/>
      <c r="J496" s="130"/>
      <c r="K496" s="131"/>
      <c r="N496" s="134"/>
      <c r="O496" s="135"/>
      <c r="P496" s="136"/>
    </row>
    <row r="497" spans="8:16" ht="14.5" x14ac:dyDescent="0.35">
      <c r="H497" s="129"/>
      <c r="I497" s="129"/>
      <c r="J497" s="130"/>
      <c r="K497" s="131"/>
      <c r="N497" s="134"/>
      <c r="O497" s="135"/>
      <c r="P497" s="136"/>
    </row>
    <row r="498" spans="8:16" ht="14.5" x14ac:dyDescent="0.35">
      <c r="H498" s="129"/>
      <c r="I498" s="129"/>
      <c r="J498" s="130"/>
      <c r="K498" s="131"/>
      <c r="N498" s="134"/>
      <c r="O498" s="135"/>
      <c r="P498" s="136"/>
    </row>
    <row r="499" spans="8:16" ht="14.5" x14ac:dyDescent="0.35">
      <c r="H499" s="129"/>
      <c r="I499" s="129"/>
      <c r="J499" s="130"/>
      <c r="K499" s="131"/>
      <c r="N499" s="134"/>
      <c r="O499" s="135"/>
      <c r="P499" s="136"/>
    </row>
    <row r="500" spans="8:16" ht="14.5" x14ac:dyDescent="0.35">
      <c r="H500" s="129"/>
      <c r="I500" s="129"/>
      <c r="J500" s="130"/>
      <c r="K500" s="131"/>
      <c r="N500" s="134"/>
      <c r="O500" s="135"/>
      <c r="P500" s="136"/>
    </row>
    <row r="501" spans="8:16" ht="14.5" x14ac:dyDescent="0.35">
      <c r="H501" s="129"/>
      <c r="I501" s="129"/>
      <c r="J501" s="130"/>
      <c r="K501" s="131"/>
      <c r="N501" s="134"/>
      <c r="O501" s="135"/>
      <c r="P501" s="136"/>
    </row>
    <row r="502" spans="8:16" ht="14.5" x14ac:dyDescent="0.35">
      <c r="H502" s="129"/>
      <c r="I502" s="129"/>
      <c r="J502" s="130"/>
      <c r="K502" s="131"/>
      <c r="N502" s="134"/>
      <c r="O502" s="135"/>
      <c r="P502" s="136"/>
    </row>
    <row r="503" spans="8:16" ht="14.5" x14ac:dyDescent="0.35">
      <c r="H503" s="129"/>
      <c r="I503" s="129"/>
      <c r="J503" s="130"/>
      <c r="K503" s="131"/>
      <c r="N503" s="134"/>
      <c r="O503" s="135"/>
      <c r="P503" s="136"/>
    </row>
    <row r="504" spans="8:16" ht="14.5" x14ac:dyDescent="0.35">
      <c r="H504" s="129"/>
      <c r="I504" s="129"/>
      <c r="J504" s="130"/>
      <c r="K504" s="131"/>
      <c r="N504" s="134"/>
      <c r="O504" s="135"/>
      <c r="P504" s="136"/>
    </row>
    <row r="505" spans="8:16" ht="14.5" x14ac:dyDescent="0.35">
      <c r="H505" s="129"/>
      <c r="I505" s="129"/>
      <c r="J505" s="130"/>
      <c r="K505" s="131"/>
      <c r="N505" s="134"/>
      <c r="O505" s="135"/>
      <c r="P505" s="136"/>
    </row>
    <row r="506" spans="8:16" ht="14.5" x14ac:dyDescent="0.35">
      <c r="H506" s="129"/>
      <c r="I506" s="129"/>
      <c r="J506" s="130"/>
      <c r="K506" s="131"/>
      <c r="N506" s="134"/>
      <c r="O506" s="135"/>
      <c r="P506" s="136"/>
    </row>
    <row r="507" spans="8:16" ht="14.5" x14ac:dyDescent="0.35">
      <c r="H507" s="129"/>
      <c r="I507" s="129"/>
      <c r="J507" s="130"/>
      <c r="K507" s="131"/>
      <c r="N507" s="134"/>
      <c r="O507" s="135"/>
      <c r="P507" s="136"/>
    </row>
    <row r="508" spans="8:16" ht="14.5" x14ac:dyDescent="0.35">
      <c r="H508" s="129"/>
      <c r="I508" s="129"/>
      <c r="J508" s="130"/>
      <c r="K508" s="131"/>
      <c r="N508" s="134"/>
      <c r="O508" s="135"/>
      <c r="P508" s="136"/>
    </row>
    <row r="509" spans="8:16" ht="14.5" x14ac:dyDescent="0.35">
      <c r="H509" s="129"/>
      <c r="I509" s="129"/>
      <c r="J509" s="130"/>
      <c r="K509" s="131"/>
      <c r="N509" s="134"/>
      <c r="O509" s="135"/>
      <c r="P509" s="136"/>
    </row>
    <row r="510" spans="8:16" ht="14.5" x14ac:dyDescent="0.35">
      <c r="H510" s="129"/>
      <c r="I510" s="129"/>
      <c r="J510" s="130"/>
      <c r="K510" s="131"/>
      <c r="N510" s="134"/>
      <c r="O510" s="135"/>
      <c r="P510" s="136"/>
    </row>
    <row r="511" spans="8:16" ht="14.5" x14ac:dyDescent="0.35">
      <c r="H511" s="129"/>
      <c r="I511" s="129"/>
      <c r="J511" s="130"/>
      <c r="K511" s="131"/>
      <c r="N511" s="134"/>
      <c r="O511" s="135"/>
      <c r="P511" s="136"/>
    </row>
    <row r="512" spans="8:16" ht="14.5" x14ac:dyDescent="0.35">
      <c r="H512" s="129"/>
      <c r="I512" s="129"/>
      <c r="J512" s="130"/>
      <c r="K512" s="131"/>
      <c r="N512" s="134"/>
      <c r="O512" s="135"/>
      <c r="P512" s="136"/>
    </row>
    <row r="513" spans="8:16" ht="14.5" x14ac:dyDescent="0.35">
      <c r="H513" s="129"/>
      <c r="I513" s="129"/>
      <c r="J513" s="130"/>
      <c r="K513" s="131"/>
      <c r="N513" s="134"/>
      <c r="O513" s="135"/>
      <c r="P513" s="136"/>
    </row>
    <row r="514" spans="8:16" ht="14.5" x14ac:dyDescent="0.35">
      <c r="H514" s="129"/>
      <c r="I514" s="129"/>
      <c r="J514" s="130"/>
      <c r="K514" s="131"/>
      <c r="N514" s="134"/>
      <c r="O514" s="135"/>
      <c r="P514" s="136"/>
    </row>
    <row r="515" spans="8:16" ht="14.5" x14ac:dyDescent="0.35">
      <c r="H515" s="129"/>
      <c r="I515" s="129"/>
      <c r="J515" s="130"/>
      <c r="K515" s="131"/>
      <c r="N515" s="134"/>
      <c r="O515" s="135"/>
      <c r="P515" s="136"/>
    </row>
    <row r="516" spans="8:16" ht="14.5" x14ac:dyDescent="0.35">
      <c r="H516" s="129"/>
      <c r="I516" s="129"/>
      <c r="J516" s="130"/>
      <c r="K516" s="131"/>
      <c r="N516" s="134"/>
      <c r="O516" s="135"/>
      <c r="P516" s="136"/>
    </row>
    <row r="517" spans="8:16" ht="14.5" x14ac:dyDescent="0.35">
      <c r="H517" s="129"/>
      <c r="I517" s="129"/>
      <c r="J517" s="130"/>
      <c r="K517" s="131"/>
      <c r="N517" s="134"/>
      <c r="O517" s="135"/>
      <c r="P517" s="136"/>
    </row>
    <row r="518" spans="8:16" ht="14.5" x14ac:dyDescent="0.35">
      <c r="H518" s="129"/>
      <c r="I518" s="129"/>
      <c r="J518" s="130"/>
      <c r="K518" s="131"/>
      <c r="N518" s="134"/>
      <c r="O518" s="135"/>
      <c r="P518" s="136"/>
    </row>
    <row r="519" spans="8:16" ht="14.5" x14ac:dyDescent="0.35">
      <c r="H519" s="129"/>
      <c r="I519" s="129"/>
      <c r="J519" s="130"/>
      <c r="K519" s="131"/>
      <c r="N519" s="134"/>
      <c r="O519" s="135"/>
      <c r="P519" s="136"/>
    </row>
    <row r="520" spans="8:16" ht="14.5" x14ac:dyDescent="0.35">
      <c r="H520" s="129"/>
      <c r="I520" s="129"/>
      <c r="J520" s="130"/>
      <c r="K520" s="131"/>
      <c r="N520" s="134"/>
      <c r="O520" s="135"/>
      <c r="P520" s="136"/>
    </row>
    <row r="521" spans="8:16" ht="14.5" x14ac:dyDescent="0.35">
      <c r="H521" s="129"/>
      <c r="I521" s="129"/>
      <c r="J521" s="130"/>
      <c r="K521" s="131"/>
      <c r="N521" s="134"/>
      <c r="O521" s="135"/>
      <c r="P521" s="136"/>
    </row>
    <row r="522" spans="8:16" ht="14.5" x14ac:dyDescent="0.35">
      <c r="H522" s="129"/>
      <c r="I522" s="129"/>
      <c r="J522" s="130"/>
      <c r="K522" s="131"/>
      <c r="N522" s="134"/>
      <c r="O522" s="135"/>
      <c r="P522" s="136"/>
    </row>
    <row r="523" spans="8:16" ht="14.5" x14ac:dyDescent="0.35">
      <c r="H523" s="129"/>
      <c r="I523" s="129"/>
      <c r="J523" s="130"/>
      <c r="K523" s="131"/>
      <c r="N523" s="134"/>
      <c r="O523" s="135"/>
      <c r="P523" s="136"/>
    </row>
    <row r="524" spans="8:16" ht="14.5" x14ac:dyDescent="0.35">
      <c r="H524" s="129"/>
      <c r="I524" s="129"/>
      <c r="J524" s="130"/>
      <c r="K524" s="131"/>
      <c r="N524" s="134"/>
      <c r="O524" s="135"/>
      <c r="P524" s="136"/>
    </row>
    <row r="525" spans="8:16" ht="14.5" x14ac:dyDescent="0.35">
      <c r="H525" s="129"/>
      <c r="I525" s="129"/>
      <c r="J525" s="130"/>
      <c r="K525" s="131"/>
      <c r="N525" s="134"/>
      <c r="O525" s="135"/>
      <c r="P525" s="136"/>
    </row>
    <row r="526" spans="8:16" ht="14.5" x14ac:dyDescent="0.35">
      <c r="H526" s="129"/>
      <c r="I526" s="129"/>
      <c r="J526" s="130"/>
      <c r="K526" s="131"/>
      <c r="N526" s="134"/>
      <c r="O526" s="135"/>
      <c r="P526" s="136"/>
    </row>
    <row r="527" spans="8:16" ht="14.5" x14ac:dyDescent="0.35">
      <c r="H527" s="129"/>
      <c r="I527" s="129"/>
      <c r="J527" s="130"/>
      <c r="K527" s="131"/>
      <c r="N527" s="134"/>
      <c r="O527" s="135"/>
      <c r="P527" s="136"/>
    </row>
    <row r="528" spans="8:16" ht="14.5" x14ac:dyDescent="0.35">
      <c r="H528" s="129"/>
      <c r="I528" s="129"/>
      <c r="J528" s="130"/>
      <c r="K528" s="131"/>
      <c r="N528" s="134"/>
      <c r="O528" s="135"/>
      <c r="P528" s="136"/>
    </row>
    <row r="529" spans="8:16" ht="14.5" x14ac:dyDescent="0.35">
      <c r="H529" s="129"/>
      <c r="I529" s="129"/>
      <c r="J529" s="130"/>
      <c r="K529" s="131"/>
      <c r="N529" s="134"/>
      <c r="O529" s="135"/>
      <c r="P529" s="136"/>
    </row>
    <row r="530" spans="8:16" ht="14.5" x14ac:dyDescent="0.35">
      <c r="H530" s="129"/>
      <c r="I530" s="129"/>
      <c r="J530" s="130"/>
      <c r="K530" s="131"/>
      <c r="N530" s="134"/>
      <c r="O530" s="135"/>
      <c r="P530" s="136"/>
    </row>
    <row r="531" spans="8:16" ht="14.5" x14ac:dyDescent="0.35">
      <c r="H531" s="129"/>
      <c r="I531" s="129"/>
      <c r="J531" s="130"/>
      <c r="K531" s="131"/>
      <c r="N531" s="134"/>
      <c r="O531" s="135"/>
      <c r="P531" s="136"/>
    </row>
    <row r="532" spans="8:16" ht="14.5" x14ac:dyDescent="0.35">
      <c r="H532" s="129"/>
      <c r="I532" s="129"/>
      <c r="J532" s="130"/>
      <c r="K532" s="131"/>
      <c r="N532" s="134"/>
      <c r="O532" s="135"/>
      <c r="P532" s="136"/>
    </row>
    <row r="533" spans="8:16" ht="14.5" x14ac:dyDescent="0.35">
      <c r="H533" s="129"/>
      <c r="I533" s="129"/>
      <c r="J533" s="130"/>
      <c r="K533" s="131"/>
      <c r="N533" s="134"/>
      <c r="O533" s="135"/>
      <c r="P533" s="136"/>
    </row>
    <row r="534" spans="8:16" ht="14.5" x14ac:dyDescent="0.35">
      <c r="H534" s="129"/>
      <c r="I534" s="129"/>
      <c r="J534" s="130"/>
      <c r="K534" s="131"/>
      <c r="N534" s="134"/>
      <c r="O534" s="135"/>
      <c r="P534" s="136"/>
    </row>
    <row r="535" spans="8:16" ht="14.5" x14ac:dyDescent="0.35">
      <c r="H535" s="129"/>
      <c r="I535" s="129"/>
      <c r="J535" s="130"/>
      <c r="K535" s="131"/>
      <c r="N535" s="134"/>
      <c r="O535" s="135"/>
      <c r="P535" s="136"/>
    </row>
    <row r="536" spans="8:16" ht="14.5" x14ac:dyDescent="0.35">
      <c r="H536" s="129"/>
      <c r="I536" s="129"/>
      <c r="J536" s="130"/>
      <c r="K536" s="131"/>
      <c r="N536" s="134"/>
      <c r="O536" s="135"/>
      <c r="P536" s="136"/>
    </row>
    <row r="537" spans="8:16" ht="14.5" x14ac:dyDescent="0.35">
      <c r="H537" s="129"/>
      <c r="I537" s="129"/>
      <c r="J537" s="130"/>
      <c r="K537" s="131"/>
      <c r="N537" s="134"/>
      <c r="O537" s="135"/>
      <c r="P537" s="136"/>
    </row>
    <row r="538" spans="8:16" ht="14.5" x14ac:dyDescent="0.35">
      <c r="H538" s="129"/>
      <c r="I538" s="129"/>
      <c r="J538" s="130"/>
      <c r="K538" s="131"/>
      <c r="N538" s="134"/>
      <c r="O538" s="135"/>
      <c r="P538" s="136"/>
    </row>
    <row r="539" spans="8:16" ht="14.5" x14ac:dyDescent="0.35">
      <c r="H539" s="129"/>
      <c r="I539" s="129"/>
      <c r="J539" s="130"/>
      <c r="K539" s="131"/>
      <c r="N539" s="134"/>
      <c r="O539" s="135"/>
      <c r="P539" s="136"/>
    </row>
    <row r="540" spans="8:16" ht="14.5" x14ac:dyDescent="0.35">
      <c r="H540" s="129"/>
      <c r="I540" s="129"/>
      <c r="J540" s="130"/>
      <c r="K540" s="131"/>
      <c r="N540" s="134"/>
      <c r="O540" s="135"/>
      <c r="P540" s="136"/>
    </row>
    <row r="541" spans="8:16" ht="14.5" x14ac:dyDescent="0.35">
      <c r="H541" s="129"/>
      <c r="I541" s="129"/>
      <c r="J541" s="130"/>
      <c r="K541" s="131"/>
      <c r="N541" s="134"/>
      <c r="O541" s="135"/>
      <c r="P541" s="136"/>
    </row>
    <row r="542" spans="8:16" ht="14.5" x14ac:dyDescent="0.35">
      <c r="H542" s="129"/>
      <c r="I542" s="129"/>
      <c r="J542" s="130"/>
      <c r="K542" s="131"/>
      <c r="N542" s="134"/>
      <c r="O542" s="135"/>
      <c r="P542" s="136"/>
    </row>
    <row r="543" spans="8:16" ht="14.5" x14ac:dyDescent="0.35">
      <c r="H543" s="129"/>
      <c r="I543" s="129"/>
      <c r="J543" s="130"/>
      <c r="K543" s="131"/>
      <c r="N543" s="134"/>
      <c r="O543" s="135"/>
      <c r="P543" s="136"/>
    </row>
    <row r="544" spans="8:16" ht="14.5" x14ac:dyDescent="0.35">
      <c r="H544" s="129"/>
      <c r="I544" s="129"/>
      <c r="J544" s="130"/>
      <c r="K544" s="131"/>
      <c r="N544" s="134"/>
      <c r="O544" s="135"/>
      <c r="P544" s="136"/>
    </row>
    <row r="545" spans="8:16" ht="14.5" x14ac:dyDescent="0.35">
      <c r="H545" s="129"/>
      <c r="I545" s="129"/>
      <c r="J545" s="130"/>
      <c r="K545" s="131"/>
      <c r="N545" s="134"/>
      <c r="O545" s="135"/>
      <c r="P545" s="136"/>
    </row>
    <row r="546" spans="8:16" ht="14.5" x14ac:dyDescent="0.35">
      <c r="H546" s="129"/>
      <c r="I546" s="129"/>
      <c r="J546" s="130"/>
      <c r="K546" s="131"/>
      <c r="N546" s="134"/>
      <c r="O546" s="135"/>
      <c r="P546" s="136"/>
    </row>
    <row r="547" spans="8:16" ht="14.5" x14ac:dyDescent="0.35">
      <c r="H547" s="129"/>
      <c r="I547" s="129"/>
      <c r="J547" s="130"/>
      <c r="K547" s="131"/>
      <c r="N547" s="134"/>
      <c r="O547" s="135"/>
      <c r="P547" s="136"/>
    </row>
    <row r="548" spans="8:16" ht="14.5" x14ac:dyDescent="0.35">
      <c r="H548" s="129"/>
      <c r="I548" s="129"/>
      <c r="J548" s="130"/>
      <c r="K548" s="131"/>
      <c r="N548" s="134"/>
      <c r="O548" s="135"/>
      <c r="P548" s="136"/>
    </row>
    <row r="549" spans="8:16" ht="14.5" x14ac:dyDescent="0.35">
      <c r="H549" s="129"/>
      <c r="I549" s="129"/>
      <c r="J549" s="130"/>
      <c r="K549" s="131"/>
      <c r="N549" s="134"/>
      <c r="O549" s="135"/>
      <c r="P549" s="136"/>
    </row>
    <row r="550" spans="8:16" ht="14.5" x14ac:dyDescent="0.35">
      <c r="H550" s="129"/>
      <c r="I550" s="129"/>
      <c r="J550" s="130"/>
      <c r="K550" s="131"/>
      <c r="N550" s="134"/>
      <c r="O550" s="135"/>
      <c r="P550" s="136"/>
    </row>
    <row r="551" spans="8:16" ht="14.5" x14ac:dyDescent="0.35">
      <c r="H551" s="129"/>
      <c r="I551" s="129"/>
      <c r="J551" s="130"/>
      <c r="K551" s="131"/>
      <c r="N551" s="134"/>
      <c r="O551" s="135"/>
      <c r="P551" s="136"/>
    </row>
    <row r="552" spans="8:16" ht="14.5" x14ac:dyDescent="0.35">
      <c r="H552" s="129"/>
      <c r="I552" s="129"/>
      <c r="J552" s="130"/>
      <c r="K552" s="131"/>
      <c r="N552" s="134"/>
      <c r="O552" s="135"/>
      <c r="P552" s="136"/>
    </row>
    <row r="553" spans="8:16" ht="14.5" x14ac:dyDescent="0.35">
      <c r="H553" s="129"/>
      <c r="I553" s="129"/>
      <c r="J553" s="130"/>
      <c r="K553" s="131"/>
      <c r="N553" s="134"/>
      <c r="O553" s="135"/>
      <c r="P553" s="136"/>
    </row>
    <row r="554" spans="8:16" ht="14.5" x14ac:dyDescent="0.35">
      <c r="H554" s="129"/>
      <c r="I554" s="129"/>
      <c r="J554" s="130"/>
      <c r="K554" s="131"/>
      <c r="N554" s="134"/>
      <c r="O554" s="135"/>
      <c r="P554" s="136"/>
    </row>
    <row r="555" spans="8:16" ht="14.5" x14ac:dyDescent="0.35">
      <c r="H555" s="129"/>
      <c r="I555" s="129"/>
      <c r="J555" s="130"/>
      <c r="K555" s="131"/>
      <c r="N555" s="134"/>
      <c r="O555" s="135"/>
      <c r="P555" s="136"/>
    </row>
    <row r="556" spans="8:16" ht="14.5" x14ac:dyDescent="0.35">
      <c r="H556" s="129"/>
      <c r="I556" s="129"/>
      <c r="J556" s="130"/>
      <c r="K556" s="131"/>
      <c r="N556" s="134"/>
      <c r="O556" s="135"/>
      <c r="P556" s="136"/>
    </row>
    <row r="557" spans="8:16" ht="14.5" x14ac:dyDescent="0.35">
      <c r="H557" s="129"/>
      <c r="I557" s="129"/>
      <c r="J557" s="130"/>
      <c r="K557" s="131"/>
      <c r="N557" s="134"/>
      <c r="O557" s="135"/>
      <c r="P557" s="136"/>
    </row>
    <row r="558" spans="8:16" ht="14.5" x14ac:dyDescent="0.35">
      <c r="H558" s="129"/>
      <c r="I558" s="129"/>
      <c r="J558" s="130"/>
      <c r="K558" s="131"/>
      <c r="N558" s="134"/>
      <c r="O558" s="135"/>
      <c r="P558" s="136"/>
    </row>
    <row r="559" spans="8:16" ht="14.5" x14ac:dyDescent="0.35">
      <c r="H559" s="129"/>
      <c r="I559" s="129"/>
      <c r="J559" s="130"/>
      <c r="K559" s="131"/>
      <c r="N559" s="134"/>
      <c r="O559" s="135"/>
      <c r="P559" s="136"/>
    </row>
    <row r="560" spans="8:16" ht="14.5" x14ac:dyDescent="0.35">
      <c r="H560" s="129"/>
      <c r="I560" s="129"/>
      <c r="J560" s="130"/>
      <c r="K560" s="131"/>
      <c r="N560" s="134"/>
      <c r="O560" s="135"/>
      <c r="P560" s="136"/>
    </row>
    <row r="561" spans="8:16" ht="14.5" x14ac:dyDescent="0.35">
      <c r="H561" s="129"/>
      <c r="I561" s="129"/>
      <c r="J561" s="130"/>
      <c r="K561" s="131"/>
      <c r="N561" s="134"/>
      <c r="O561" s="135"/>
      <c r="P561" s="136"/>
    </row>
    <row r="562" spans="8:16" ht="14.5" x14ac:dyDescent="0.35">
      <c r="H562" s="129"/>
      <c r="I562" s="129"/>
      <c r="J562" s="130"/>
      <c r="K562" s="131"/>
      <c r="N562" s="134"/>
      <c r="O562" s="135"/>
      <c r="P562" s="136"/>
    </row>
    <row r="563" spans="8:16" ht="14.5" x14ac:dyDescent="0.35">
      <c r="H563" s="129"/>
      <c r="I563" s="129"/>
      <c r="J563" s="130"/>
      <c r="K563" s="131"/>
      <c r="N563" s="134"/>
      <c r="O563" s="135"/>
      <c r="P563" s="136"/>
    </row>
    <row r="564" spans="8:16" ht="14.5" x14ac:dyDescent="0.35">
      <c r="H564" s="129"/>
      <c r="I564" s="129"/>
      <c r="J564" s="130"/>
      <c r="K564" s="131"/>
      <c r="N564" s="134"/>
      <c r="O564" s="135"/>
      <c r="P564" s="136"/>
    </row>
    <row r="565" spans="8:16" ht="14.5" x14ac:dyDescent="0.35">
      <c r="H565" s="129"/>
      <c r="I565" s="129"/>
      <c r="J565" s="130"/>
      <c r="K565" s="131"/>
      <c r="N565" s="134"/>
      <c r="O565" s="135"/>
      <c r="P565" s="136"/>
    </row>
    <row r="566" spans="8:16" ht="14.5" x14ac:dyDescent="0.35">
      <c r="H566" s="129"/>
      <c r="I566" s="129"/>
      <c r="J566" s="130"/>
      <c r="K566" s="131"/>
      <c r="N566" s="134"/>
      <c r="O566" s="135"/>
      <c r="P566" s="136"/>
    </row>
    <row r="567" spans="8:16" ht="14.5" x14ac:dyDescent="0.35">
      <c r="H567" s="129"/>
      <c r="I567" s="129"/>
      <c r="J567" s="130"/>
      <c r="K567" s="131"/>
      <c r="N567" s="134"/>
      <c r="O567" s="135"/>
      <c r="P567" s="136"/>
    </row>
    <row r="568" spans="8:16" ht="14.5" x14ac:dyDescent="0.35">
      <c r="H568" s="129"/>
      <c r="I568" s="129"/>
      <c r="J568" s="130"/>
      <c r="K568" s="131"/>
      <c r="N568" s="134"/>
      <c r="O568" s="135"/>
      <c r="P568" s="136"/>
    </row>
    <row r="569" spans="8:16" ht="14.5" x14ac:dyDescent="0.35">
      <c r="H569" s="129"/>
      <c r="I569" s="129"/>
      <c r="J569" s="130"/>
      <c r="K569" s="131"/>
      <c r="N569" s="134"/>
      <c r="O569" s="135"/>
      <c r="P569" s="136"/>
    </row>
    <row r="570" spans="8:16" ht="14.5" x14ac:dyDescent="0.35">
      <c r="H570" s="129"/>
      <c r="I570" s="129"/>
      <c r="J570" s="130"/>
      <c r="K570" s="131"/>
      <c r="N570" s="134"/>
      <c r="O570" s="135"/>
      <c r="P570" s="136"/>
    </row>
    <row r="571" spans="8:16" ht="14.5" x14ac:dyDescent="0.35">
      <c r="H571" s="129"/>
      <c r="I571" s="129"/>
      <c r="J571" s="130"/>
      <c r="K571" s="131"/>
      <c r="N571" s="134"/>
      <c r="O571" s="135"/>
      <c r="P571" s="136"/>
    </row>
    <row r="572" spans="8:16" ht="14.5" x14ac:dyDescent="0.35">
      <c r="H572" s="129"/>
      <c r="I572" s="129"/>
      <c r="J572" s="130"/>
      <c r="K572" s="131"/>
      <c r="N572" s="134"/>
      <c r="O572" s="135"/>
      <c r="P572" s="136"/>
    </row>
    <row r="573" spans="8:16" ht="14.5" x14ac:dyDescent="0.35">
      <c r="H573" s="129"/>
      <c r="I573" s="129"/>
      <c r="J573" s="130"/>
      <c r="K573" s="131"/>
      <c r="N573" s="134"/>
      <c r="O573" s="135"/>
      <c r="P573" s="136"/>
    </row>
    <row r="574" spans="8:16" ht="14.5" x14ac:dyDescent="0.35">
      <c r="H574" s="129"/>
      <c r="I574" s="129"/>
      <c r="J574" s="130"/>
      <c r="K574" s="131"/>
      <c r="N574" s="134"/>
      <c r="O574" s="135"/>
      <c r="P574" s="136"/>
    </row>
    <row r="575" spans="8:16" ht="14.5" x14ac:dyDescent="0.35">
      <c r="H575" s="129"/>
      <c r="I575" s="129"/>
      <c r="J575" s="130"/>
      <c r="K575" s="131"/>
      <c r="N575" s="134"/>
      <c r="O575" s="135"/>
      <c r="P575" s="136"/>
    </row>
    <row r="576" spans="8:16" ht="14.5" x14ac:dyDescent="0.35">
      <c r="H576" s="129"/>
      <c r="I576" s="129"/>
      <c r="J576" s="130"/>
      <c r="K576" s="131"/>
      <c r="N576" s="134"/>
      <c r="O576" s="135"/>
      <c r="P576" s="136"/>
    </row>
    <row r="577" spans="8:16" ht="14.5" x14ac:dyDescent="0.35">
      <c r="H577" s="129"/>
      <c r="I577" s="129"/>
      <c r="J577" s="130"/>
      <c r="K577" s="131"/>
      <c r="N577" s="134"/>
      <c r="O577" s="135"/>
      <c r="P577" s="136"/>
    </row>
    <row r="578" spans="8:16" ht="14.5" x14ac:dyDescent="0.35">
      <c r="H578" s="129"/>
      <c r="I578" s="129"/>
      <c r="J578" s="130"/>
      <c r="K578" s="131"/>
      <c r="N578" s="134"/>
      <c r="O578" s="135"/>
      <c r="P578" s="136"/>
    </row>
    <row r="579" spans="8:16" ht="14.5" x14ac:dyDescent="0.35">
      <c r="H579" s="129"/>
      <c r="I579" s="129"/>
      <c r="J579" s="130"/>
      <c r="K579" s="131"/>
      <c r="N579" s="134"/>
      <c r="O579" s="135"/>
      <c r="P579" s="136"/>
    </row>
    <row r="580" spans="8:16" ht="14.5" x14ac:dyDescent="0.35">
      <c r="H580" s="129"/>
      <c r="I580" s="129"/>
      <c r="J580" s="130"/>
      <c r="K580" s="131"/>
      <c r="N580" s="134"/>
      <c r="O580" s="135"/>
      <c r="P580" s="136"/>
    </row>
    <row r="581" spans="8:16" ht="14.5" x14ac:dyDescent="0.35">
      <c r="H581" s="129"/>
      <c r="I581" s="129"/>
      <c r="J581" s="130"/>
      <c r="K581" s="131"/>
      <c r="N581" s="134"/>
      <c r="O581" s="135"/>
      <c r="P581" s="136"/>
    </row>
    <row r="582" spans="8:16" ht="14.5" x14ac:dyDescent="0.35">
      <c r="H582" s="129"/>
      <c r="I582" s="129"/>
      <c r="J582" s="130"/>
      <c r="K582" s="131"/>
      <c r="N582" s="134"/>
      <c r="O582" s="135"/>
      <c r="P582" s="136"/>
    </row>
    <row r="583" spans="8:16" ht="14.5" x14ac:dyDescent="0.35">
      <c r="H583" s="129"/>
      <c r="I583" s="129"/>
      <c r="J583" s="130"/>
      <c r="K583" s="131"/>
      <c r="N583" s="134"/>
      <c r="O583" s="135"/>
      <c r="P583" s="136"/>
    </row>
    <row r="584" spans="8:16" ht="14.5" x14ac:dyDescent="0.35">
      <c r="H584" s="129"/>
      <c r="I584" s="129"/>
      <c r="J584" s="130"/>
      <c r="K584" s="131"/>
      <c r="N584" s="134"/>
      <c r="O584" s="135"/>
      <c r="P584" s="136"/>
    </row>
    <row r="585" spans="8:16" ht="14.5" x14ac:dyDescent="0.35">
      <c r="H585" s="129"/>
      <c r="I585" s="129"/>
      <c r="J585" s="130"/>
      <c r="K585" s="131"/>
      <c r="N585" s="134"/>
      <c r="O585" s="135"/>
      <c r="P585" s="136"/>
    </row>
    <row r="586" spans="8:16" ht="14.5" x14ac:dyDescent="0.35">
      <c r="H586" s="129"/>
      <c r="I586" s="129"/>
      <c r="J586" s="130"/>
      <c r="K586" s="131"/>
      <c r="N586" s="134"/>
      <c r="O586" s="135"/>
      <c r="P586" s="136"/>
    </row>
    <row r="587" spans="8:16" ht="14.5" x14ac:dyDescent="0.35">
      <c r="H587" s="129"/>
      <c r="I587" s="129"/>
      <c r="J587" s="130"/>
      <c r="K587" s="131"/>
      <c r="N587" s="134"/>
      <c r="O587" s="135"/>
      <c r="P587" s="136"/>
    </row>
    <row r="588" spans="8:16" ht="14.5" x14ac:dyDescent="0.35">
      <c r="H588" s="129"/>
      <c r="I588" s="129"/>
      <c r="J588" s="130"/>
      <c r="K588" s="131"/>
      <c r="N588" s="134"/>
      <c r="O588" s="135"/>
      <c r="P588" s="136"/>
    </row>
    <row r="589" spans="8:16" ht="14.5" x14ac:dyDescent="0.35">
      <c r="H589" s="129"/>
      <c r="I589" s="129"/>
      <c r="J589" s="130"/>
      <c r="K589" s="131"/>
      <c r="N589" s="134"/>
      <c r="O589" s="135"/>
      <c r="P589" s="136"/>
    </row>
    <row r="590" spans="8:16" ht="14.5" x14ac:dyDescent="0.35">
      <c r="H590" s="129"/>
      <c r="I590" s="129"/>
      <c r="J590" s="130"/>
      <c r="K590" s="131"/>
      <c r="N590" s="134"/>
      <c r="O590" s="135"/>
      <c r="P590" s="136"/>
    </row>
    <row r="591" spans="8:16" ht="14.5" x14ac:dyDescent="0.35">
      <c r="H591" s="129"/>
      <c r="I591" s="129"/>
      <c r="J591" s="130"/>
      <c r="K591" s="131"/>
      <c r="N591" s="134"/>
      <c r="O591" s="135"/>
      <c r="P591" s="136"/>
    </row>
    <row r="592" spans="8:16" ht="14.5" x14ac:dyDescent="0.35">
      <c r="H592" s="129"/>
      <c r="I592" s="129"/>
      <c r="J592" s="130"/>
      <c r="K592" s="131"/>
      <c r="N592" s="134"/>
      <c r="O592" s="135"/>
      <c r="P592" s="136"/>
    </row>
    <row r="593" spans="8:16" ht="14.5" x14ac:dyDescent="0.35">
      <c r="H593" s="129"/>
      <c r="I593" s="129"/>
      <c r="J593" s="130"/>
      <c r="K593" s="131"/>
      <c r="N593" s="134"/>
      <c r="O593" s="135"/>
      <c r="P593" s="136"/>
    </row>
    <row r="594" spans="8:16" ht="14.5" x14ac:dyDescent="0.35">
      <c r="H594" s="129"/>
      <c r="I594" s="129"/>
      <c r="J594" s="130"/>
      <c r="K594" s="131"/>
      <c r="N594" s="134"/>
      <c r="O594" s="135"/>
      <c r="P594" s="136"/>
    </row>
    <row r="595" spans="8:16" ht="14.5" x14ac:dyDescent="0.35">
      <c r="H595" s="129"/>
      <c r="I595" s="129"/>
      <c r="J595" s="130"/>
      <c r="K595" s="131"/>
      <c r="N595" s="134"/>
      <c r="O595" s="135"/>
      <c r="P595" s="136"/>
    </row>
    <row r="596" spans="8:16" ht="14.5" x14ac:dyDescent="0.35">
      <c r="H596" s="129"/>
      <c r="I596" s="129"/>
      <c r="J596" s="130"/>
      <c r="K596" s="131"/>
      <c r="N596" s="134"/>
      <c r="O596" s="135"/>
      <c r="P596" s="136"/>
    </row>
    <row r="597" spans="8:16" ht="14.5" x14ac:dyDescent="0.35">
      <c r="H597" s="129"/>
      <c r="I597" s="129"/>
      <c r="J597" s="130"/>
      <c r="K597" s="131"/>
      <c r="N597" s="134"/>
      <c r="O597" s="135"/>
      <c r="P597" s="136"/>
    </row>
    <row r="598" spans="8:16" ht="14.5" x14ac:dyDescent="0.35">
      <c r="H598" s="129"/>
      <c r="I598" s="129"/>
      <c r="J598" s="130"/>
      <c r="K598" s="131"/>
      <c r="N598" s="134"/>
      <c r="O598" s="135"/>
      <c r="P598" s="136"/>
    </row>
    <row r="599" spans="8:16" ht="14.5" x14ac:dyDescent="0.35">
      <c r="H599" s="129"/>
      <c r="I599" s="129"/>
      <c r="J599" s="130"/>
      <c r="K599" s="131"/>
      <c r="N599" s="134"/>
      <c r="O599" s="135"/>
      <c r="P599" s="136"/>
    </row>
    <row r="600" spans="8:16" ht="14.5" x14ac:dyDescent="0.35">
      <c r="H600" s="129"/>
      <c r="I600" s="129"/>
      <c r="J600" s="130"/>
      <c r="K600" s="131"/>
      <c r="N600" s="134"/>
      <c r="O600" s="135"/>
      <c r="P600" s="136"/>
    </row>
    <row r="601" spans="8:16" ht="14.5" x14ac:dyDescent="0.35">
      <c r="H601" s="129"/>
      <c r="I601" s="129"/>
      <c r="J601" s="130"/>
      <c r="K601" s="131"/>
      <c r="N601" s="134"/>
      <c r="O601" s="135"/>
      <c r="P601" s="136"/>
    </row>
    <row r="602" spans="8:16" ht="14.5" x14ac:dyDescent="0.35">
      <c r="H602" s="129"/>
      <c r="I602" s="129"/>
      <c r="J602" s="130"/>
      <c r="K602" s="131"/>
      <c r="N602" s="134"/>
      <c r="O602" s="135"/>
      <c r="P602" s="136"/>
    </row>
    <row r="603" spans="8:16" ht="14.5" x14ac:dyDescent="0.35">
      <c r="H603" s="129"/>
      <c r="I603" s="129"/>
      <c r="J603" s="130"/>
      <c r="K603" s="131"/>
      <c r="N603" s="134"/>
      <c r="O603" s="135"/>
      <c r="P603" s="136"/>
    </row>
    <row r="604" spans="8:16" ht="14.5" x14ac:dyDescent="0.35">
      <c r="H604" s="129"/>
      <c r="I604" s="129"/>
      <c r="J604" s="130"/>
      <c r="K604" s="131"/>
      <c r="N604" s="134"/>
      <c r="O604" s="135"/>
      <c r="P604" s="136"/>
    </row>
    <row r="605" spans="8:16" ht="14.5" x14ac:dyDescent="0.35">
      <c r="H605" s="129"/>
      <c r="I605" s="129"/>
      <c r="J605" s="130"/>
      <c r="K605" s="131"/>
      <c r="N605" s="134"/>
      <c r="O605" s="135"/>
      <c r="P605" s="136"/>
    </row>
    <row r="606" spans="8:16" ht="14.5" x14ac:dyDescent="0.35">
      <c r="H606" s="129"/>
      <c r="I606" s="129"/>
      <c r="J606" s="130"/>
      <c r="K606" s="131"/>
      <c r="N606" s="134"/>
      <c r="O606" s="135"/>
      <c r="P606" s="136"/>
    </row>
    <row r="607" spans="8:16" ht="14.5" x14ac:dyDescent="0.35">
      <c r="H607" s="129"/>
      <c r="I607" s="129"/>
      <c r="J607" s="130"/>
      <c r="K607" s="131"/>
      <c r="N607" s="134"/>
      <c r="O607" s="135"/>
      <c r="P607" s="136"/>
    </row>
    <row r="608" spans="8:16" ht="14.5" x14ac:dyDescent="0.35">
      <c r="H608" s="129"/>
      <c r="I608" s="129"/>
      <c r="J608" s="130"/>
      <c r="K608" s="131"/>
      <c r="N608" s="134"/>
      <c r="O608" s="135"/>
      <c r="P608" s="136"/>
    </row>
    <row r="609" spans="8:16" ht="14.5" x14ac:dyDescent="0.35">
      <c r="H609" s="129"/>
      <c r="I609" s="129"/>
      <c r="J609" s="130"/>
      <c r="K609" s="131"/>
      <c r="N609" s="134"/>
      <c r="O609" s="135"/>
      <c r="P609" s="136"/>
    </row>
    <row r="610" spans="8:16" ht="14.5" x14ac:dyDescent="0.35">
      <c r="H610" s="129"/>
      <c r="I610" s="129"/>
      <c r="J610" s="130"/>
      <c r="K610" s="131"/>
      <c r="N610" s="134"/>
      <c r="O610" s="135"/>
      <c r="P610" s="136"/>
    </row>
    <row r="611" spans="8:16" ht="14.5" x14ac:dyDescent="0.35">
      <c r="H611" s="129"/>
      <c r="I611" s="129"/>
      <c r="J611" s="130"/>
      <c r="K611" s="131"/>
      <c r="N611" s="134"/>
      <c r="O611" s="135"/>
      <c r="P611" s="136"/>
    </row>
    <row r="612" spans="8:16" ht="14.5" x14ac:dyDescent="0.35">
      <c r="H612" s="129"/>
      <c r="I612" s="129"/>
      <c r="J612" s="130"/>
      <c r="K612" s="131"/>
      <c r="N612" s="134"/>
      <c r="O612" s="135"/>
      <c r="P612" s="136"/>
    </row>
    <row r="613" spans="8:16" ht="14.5" x14ac:dyDescent="0.35">
      <c r="H613" s="129"/>
      <c r="I613" s="129"/>
      <c r="J613" s="130"/>
      <c r="K613" s="131"/>
      <c r="N613" s="134"/>
      <c r="O613" s="135"/>
      <c r="P613" s="136"/>
    </row>
    <row r="614" spans="8:16" ht="14.5" x14ac:dyDescent="0.35">
      <c r="H614" s="129"/>
      <c r="I614" s="129"/>
      <c r="J614" s="130"/>
      <c r="K614" s="131"/>
      <c r="N614" s="134"/>
      <c r="O614" s="135"/>
      <c r="P614" s="136"/>
    </row>
    <row r="615" spans="8:16" ht="14.5" x14ac:dyDescent="0.35">
      <c r="H615" s="129"/>
      <c r="I615" s="129"/>
      <c r="J615" s="130"/>
      <c r="K615" s="131"/>
      <c r="N615" s="134"/>
      <c r="O615" s="135"/>
      <c r="P615" s="136"/>
    </row>
    <row r="616" spans="8:16" ht="14.5" x14ac:dyDescent="0.35">
      <c r="H616" s="129"/>
      <c r="I616" s="129"/>
      <c r="J616" s="130"/>
      <c r="K616" s="131"/>
      <c r="N616" s="134"/>
      <c r="O616" s="135"/>
      <c r="P616" s="136"/>
    </row>
    <row r="617" spans="8:16" ht="14.5" x14ac:dyDescent="0.35">
      <c r="H617" s="129"/>
      <c r="I617" s="129"/>
      <c r="J617" s="130"/>
      <c r="K617" s="131"/>
      <c r="N617" s="134"/>
      <c r="O617" s="135"/>
      <c r="P617" s="136"/>
    </row>
    <row r="618" spans="8:16" ht="14.5" x14ac:dyDescent="0.35">
      <c r="H618" s="129"/>
      <c r="I618" s="129"/>
      <c r="J618" s="130"/>
      <c r="K618" s="131"/>
      <c r="N618" s="134"/>
      <c r="O618" s="135"/>
      <c r="P618" s="136"/>
    </row>
    <row r="619" spans="8:16" ht="14.5" x14ac:dyDescent="0.35">
      <c r="H619" s="129"/>
      <c r="I619" s="129"/>
      <c r="J619" s="130"/>
      <c r="K619" s="131"/>
      <c r="N619" s="134"/>
      <c r="O619" s="135"/>
      <c r="P619" s="136"/>
    </row>
    <row r="620" spans="8:16" ht="14.5" x14ac:dyDescent="0.35">
      <c r="H620" s="129"/>
      <c r="I620" s="129"/>
      <c r="J620" s="130"/>
      <c r="K620" s="131"/>
      <c r="N620" s="134"/>
      <c r="O620" s="135"/>
      <c r="P620" s="136"/>
    </row>
    <row r="621" spans="8:16" ht="14.5" x14ac:dyDescent="0.35">
      <c r="H621" s="129"/>
      <c r="I621" s="129"/>
      <c r="J621" s="130"/>
      <c r="K621" s="131"/>
      <c r="N621" s="134"/>
      <c r="O621" s="135"/>
      <c r="P621" s="136"/>
    </row>
    <row r="622" spans="8:16" ht="14.5" x14ac:dyDescent="0.35">
      <c r="H622" s="129"/>
      <c r="I622" s="129"/>
      <c r="J622" s="130"/>
      <c r="K622" s="131"/>
      <c r="N622" s="134"/>
      <c r="O622" s="135"/>
      <c r="P622" s="136"/>
    </row>
    <row r="623" spans="8:16" ht="14.5" x14ac:dyDescent="0.35">
      <c r="H623" s="129"/>
      <c r="I623" s="129"/>
      <c r="J623" s="130"/>
      <c r="K623" s="131"/>
      <c r="N623" s="134"/>
      <c r="O623" s="135"/>
      <c r="P623" s="136"/>
    </row>
    <row r="624" spans="8:16" ht="14.5" x14ac:dyDescent="0.35">
      <c r="H624" s="129"/>
      <c r="I624" s="129"/>
      <c r="J624" s="130"/>
      <c r="K624" s="131"/>
      <c r="N624" s="134"/>
      <c r="O624" s="135"/>
      <c r="P624" s="136"/>
    </row>
    <row r="625" spans="8:16" ht="14.5" x14ac:dyDescent="0.35">
      <c r="H625" s="129"/>
      <c r="I625" s="129"/>
      <c r="J625" s="130"/>
      <c r="K625" s="131"/>
      <c r="N625" s="134"/>
      <c r="O625" s="135"/>
      <c r="P625" s="136"/>
    </row>
    <row r="626" spans="8:16" ht="14.5" x14ac:dyDescent="0.35">
      <c r="H626" s="129"/>
      <c r="I626" s="129"/>
      <c r="J626" s="130"/>
      <c r="K626" s="131"/>
      <c r="N626" s="134"/>
      <c r="O626" s="135"/>
      <c r="P626" s="136"/>
    </row>
    <row r="627" spans="8:16" ht="14.5" x14ac:dyDescent="0.35">
      <c r="H627" s="129"/>
      <c r="I627" s="129"/>
      <c r="J627" s="130"/>
      <c r="K627" s="131"/>
      <c r="N627" s="134"/>
      <c r="O627" s="135"/>
      <c r="P627" s="136"/>
    </row>
    <row r="628" spans="8:16" ht="14.5" x14ac:dyDescent="0.35">
      <c r="H628" s="129"/>
      <c r="I628" s="129"/>
      <c r="J628" s="130"/>
      <c r="K628" s="131"/>
      <c r="N628" s="134"/>
      <c r="O628" s="135"/>
      <c r="P628" s="136"/>
    </row>
    <row r="629" spans="8:16" ht="14.5" x14ac:dyDescent="0.35">
      <c r="H629" s="129"/>
      <c r="I629" s="129"/>
      <c r="J629" s="130"/>
      <c r="K629" s="131"/>
      <c r="N629" s="134"/>
      <c r="O629" s="135"/>
      <c r="P629" s="136"/>
    </row>
    <row r="630" spans="8:16" ht="14.5" x14ac:dyDescent="0.35">
      <c r="H630" s="129"/>
      <c r="I630" s="129"/>
      <c r="J630" s="130"/>
      <c r="K630" s="131"/>
      <c r="N630" s="134"/>
      <c r="O630" s="135"/>
      <c r="P630" s="136"/>
    </row>
    <row r="631" spans="8:16" ht="14.5" x14ac:dyDescent="0.35">
      <c r="H631" s="129"/>
      <c r="I631" s="129"/>
      <c r="J631" s="130"/>
      <c r="K631" s="131"/>
      <c r="N631" s="134"/>
      <c r="O631" s="135"/>
      <c r="P631" s="136"/>
    </row>
    <row r="632" spans="8:16" ht="14.5" x14ac:dyDescent="0.35">
      <c r="H632" s="129"/>
      <c r="I632" s="129"/>
      <c r="J632" s="130"/>
      <c r="K632" s="131"/>
      <c r="N632" s="134"/>
      <c r="O632" s="135"/>
      <c r="P632" s="136"/>
    </row>
    <row r="633" spans="8:16" ht="14.5" x14ac:dyDescent="0.35">
      <c r="H633" s="129"/>
      <c r="I633" s="129"/>
      <c r="J633" s="130"/>
      <c r="K633" s="131"/>
      <c r="N633" s="134"/>
      <c r="O633" s="135"/>
      <c r="P633" s="136"/>
    </row>
    <row r="634" spans="8:16" ht="14.5" x14ac:dyDescent="0.35">
      <c r="H634" s="129"/>
      <c r="I634" s="129"/>
      <c r="J634" s="130"/>
      <c r="K634" s="131"/>
      <c r="N634" s="134"/>
      <c r="O634" s="135"/>
      <c r="P634" s="136"/>
    </row>
    <row r="635" spans="8:16" ht="14.5" x14ac:dyDescent="0.35">
      <c r="H635" s="129"/>
      <c r="I635" s="129"/>
      <c r="J635" s="130"/>
      <c r="K635" s="131"/>
      <c r="N635" s="134"/>
      <c r="O635" s="135"/>
      <c r="P635" s="136"/>
    </row>
    <row r="636" spans="8:16" ht="14.5" x14ac:dyDescent="0.35">
      <c r="H636" s="129"/>
      <c r="I636" s="129"/>
      <c r="J636" s="130"/>
      <c r="K636" s="131"/>
      <c r="N636" s="134"/>
      <c r="O636" s="135"/>
      <c r="P636" s="136"/>
    </row>
    <row r="637" spans="8:16" ht="14.5" x14ac:dyDescent="0.35">
      <c r="H637" s="129"/>
      <c r="I637" s="129"/>
      <c r="J637" s="130"/>
      <c r="K637" s="131"/>
      <c r="N637" s="134"/>
      <c r="O637" s="135"/>
      <c r="P637" s="136"/>
    </row>
    <row r="638" spans="8:16" ht="14.5" x14ac:dyDescent="0.35">
      <c r="H638" s="129"/>
      <c r="I638" s="129"/>
      <c r="J638" s="130"/>
      <c r="K638" s="131"/>
      <c r="N638" s="134"/>
      <c r="O638" s="135"/>
      <c r="P638" s="136"/>
    </row>
    <row r="639" spans="8:16" ht="14.5" x14ac:dyDescent="0.35">
      <c r="H639" s="129"/>
      <c r="I639" s="129"/>
      <c r="J639" s="130"/>
      <c r="K639" s="131"/>
      <c r="N639" s="134"/>
      <c r="O639" s="135"/>
      <c r="P639" s="136"/>
    </row>
    <row r="640" spans="8:16" ht="14.5" x14ac:dyDescent="0.35">
      <c r="H640" s="129"/>
      <c r="I640" s="129"/>
      <c r="J640" s="130"/>
      <c r="K640" s="131"/>
      <c r="N640" s="134"/>
      <c r="O640" s="135"/>
      <c r="P640" s="136"/>
    </row>
    <row r="641" spans="8:16" ht="14.5" x14ac:dyDescent="0.35">
      <c r="H641" s="129"/>
      <c r="I641" s="129"/>
      <c r="J641" s="130"/>
      <c r="K641" s="131"/>
      <c r="N641" s="134"/>
      <c r="O641" s="135"/>
      <c r="P641" s="136"/>
    </row>
    <row r="642" spans="8:16" ht="14.5" x14ac:dyDescent="0.35">
      <c r="H642" s="129"/>
      <c r="I642" s="129"/>
      <c r="J642" s="130"/>
      <c r="K642" s="131"/>
      <c r="N642" s="134"/>
      <c r="O642" s="135"/>
      <c r="P642" s="136"/>
    </row>
    <row r="643" spans="8:16" ht="14.5" x14ac:dyDescent="0.35">
      <c r="H643" s="129"/>
      <c r="I643" s="129"/>
      <c r="J643" s="130"/>
      <c r="K643" s="131"/>
      <c r="N643" s="134"/>
      <c r="O643" s="135"/>
      <c r="P643" s="136"/>
    </row>
    <row r="644" spans="8:16" ht="14.5" x14ac:dyDescent="0.35">
      <c r="H644" s="129"/>
      <c r="I644" s="129"/>
      <c r="J644" s="130"/>
      <c r="K644" s="131"/>
      <c r="N644" s="134"/>
      <c r="O644" s="135"/>
      <c r="P644" s="136"/>
    </row>
    <row r="645" spans="8:16" ht="14.5" x14ac:dyDescent="0.35">
      <c r="H645" s="129"/>
      <c r="I645" s="129"/>
      <c r="J645" s="130"/>
      <c r="K645" s="131"/>
      <c r="N645" s="134"/>
      <c r="O645" s="135"/>
      <c r="P645" s="136"/>
    </row>
    <row r="646" spans="8:16" ht="14.5" x14ac:dyDescent="0.35">
      <c r="H646" s="129"/>
      <c r="I646" s="129"/>
      <c r="J646" s="130"/>
      <c r="K646" s="131"/>
      <c r="N646" s="134"/>
      <c r="O646" s="135"/>
      <c r="P646" s="136"/>
    </row>
    <row r="647" spans="8:16" ht="14.5" x14ac:dyDescent="0.35">
      <c r="H647" s="129"/>
      <c r="I647" s="129"/>
      <c r="J647" s="130"/>
      <c r="K647" s="131"/>
      <c r="N647" s="134"/>
      <c r="O647" s="135"/>
      <c r="P647" s="136"/>
    </row>
    <row r="648" spans="8:16" ht="14.5" x14ac:dyDescent="0.35">
      <c r="H648" s="129"/>
      <c r="I648" s="129"/>
      <c r="J648" s="130"/>
      <c r="K648" s="131"/>
      <c r="N648" s="134"/>
      <c r="O648" s="135"/>
      <c r="P648" s="136"/>
    </row>
    <row r="649" spans="8:16" ht="14.5" x14ac:dyDescent="0.35">
      <c r="H649" s="129"/>
      <c r="I649" s="129"/>
      <c r="J649" s="130"/>
      <c r="K649" s="131"/>
      <c r="N649" s="134"/>
      <c r="O649" s="135"/>
      <c r="P649" s="136"/>
    </row>
    <row r="650" spans="8:16" ht="14.5" x14ac:dyDescent="0.35">
      <c r="H650" s="129"/>
      <c r="I650" s="129"/>
      <c r="J650" s="130"/>
      <c r="K650" s="131"/>
      <c r="N650" s="134"/>
      <c r="O650" s="135"/>
      <c r="P650" s="136"/>
    </row>
    <row r="651" spans="8:16" ht="14.5" x14ac:dyDescent="0.35">
      <c r="H651" s="129"/>
      <c r="I651" s="129"/>
      <c r="J651" s="130"/>
      <c r="K651" s="131"/>
      <c r="N651" s="134"/>
      <c r="O651" s="135"/>
      <c r="P651" s="136"/>
    </row>
    <row r="652" spans="8:16" ht="14.5" x14ac:dyDescent="0.35">
      <c r="H652" s="129"/>
      <c r="I652" s="129"/>
      <c r="J652" s="130"/>
      <c r="K652" s="131"/>
      <c r="N652" s="134"/>
      <c r="O652" s="135"/>
      <c r="P652" s="136"/>
    </row>
    <row r="653" spans="8:16" ht="14.5" x14ac:dyDescent="0.35">
      <c r="H653" s="129"/>
      <c r="I653" s="129"/>
      <c r="J653" s="130"/>
      <c r="K653" s="131"/>
      <c r="N653" s="134"/>
      <c r="O653" s="135"/>
      <c r="P653" s="136"/>
    </row>
    <row r="654" spans="8:16" ht="14.5" x14ac:dyDescent="0.35">
      <c r="H654" s="129"/>
      <c r="I654" s="129"/>
      <c r="J654" s="130"/>
      <c r="K654" s="131"/>
      <c r="N654" s="134"/>
      <c r="O654" s="135"/>
      <c r="P654" s="136"/>
    </row>
    <row r="655" spans="8:16" ht="14.5" x14ac:dyDescent="0.35">
      <c r="H655" s="129"/>
      <c r="I655" s="129"/>
      <c r="J655" s="130"/>
      <c r="K655" s="131"/>
      <c r="N655" s="134"/>
      <c r="O655" s="135"/>
      <c r="P655" s="136"/>
    </row>
    <row r="656" spans="8:16" ht="14.5" x14ac:dyDescent="0.35">
      <c r="H656" s="129"/>
      <c r="I656" s="129"/>
      <c r="J656" s="130"/>
      <c r="K656" s="131"/>
      <c r="N656" s="134"/>
      <c r="O656" s="135"/>
      <c r="P656" s="136"/>
    </row>
    <row r="657" spans="8:16" ht="14.5" x14ac:dyDescent="0.35">
      <c r="H657" s="129"/>
      <c r="I657" s="129"/>
      <c r="J657" s="130"/>
      <c r="K657" s="131"/>
      <c r="N657" s="134"/>
      <c r="O657" s="135"/>
      <c r="P657" s="136"/>
    </row>
    <row r="658" spans="8:16" ht="14.5" x14ac:dyDescent="0.35">
      <c r="H658" s="129"/>
      <c r="I658" s="129"/>
      <c r="J658" s="130"/>
      <c r="K658" s="131"/>
      <c r="N658" s="134"/>
      <c r="O658" s="135"/>
      <c r="P658" s="136"/>
    </row>
    <row r="659" spans="8:16" ht="14.5" x14ac:dyDescent="0.35">
      <c r="H659" s="129"/>
      <c r="I659" s="129"/>
      <c r="J659" s="130"/>
      <c r="K659" s="131"/>
      <c r="N659" s="134"/>
      <c r="O659" s="135"/>
      <c r="P659" s="136"/>
    </row>
    <row r="660" spans="8:16" ht="14.5" x14ac:dyDescent="0.35">
      <c r="H660" s="129"/>
      <c r="I660" s="129"/>
      <c r="J660" s="130"/>
      <c r="K660" s="131"/>
      <c r="N660" s="134"/>
      <c r="O660" s="135"/>
      <c r="P660" s="136"/>
    </row>
    <row r="661" spans="8:16" ht="14.5" x14ac:dyDescent="0.35">
      <c r="H661" s="129"/>
      <c r="I661" s="129"/>
      <c r="J661" s="130"/>
      <c r="K661" s="131"/>
      <c r="N661" s="134"/>
      <c r="O661" s="135"/>
      <c r="P661" s="136"/>
    </row>
    <row r="662" spans="8:16" ht="14.5" x14ac:dyDescent="0.35">
      <c r="H662" s="129"/>
      <c r="I662" s="129"/>
      <c r="J662" s="130"/>
      <c r="K662" s="131"/>
      <c r="N662" s="134"/>
      <c r="O662" s="135"/>
      <c r="P662" s="136"/>
    </row>
    <row r="663" spans="8:16" ht="14.5" x14ac:dyDescent="0.35">
      <c r="H663" s="129"/>
      <c r="I663" s="129"/>
      <c r="J663" s="130"/>
      <c r="K663" s="131"/>
      <c r="N663" s="134"/>
      <c r="O663" s="135"/>
      <c r="P663" s="136"/>
    </row>
    <row r="664" spans="8:16" ht="14.5" x14ac:dyDescent="0.35">
      <c r="H664" s="129"/>
      <c r="I664" s="129"/>
      <c r="J664" s="130"/>
      <c r="K664" s="131"/>
      <c r="N664" s="134"/>
      <c r="O664" s="135"/>
      <c r="P664" s="136"/>
    </row>
    <row r="665" spans="8:16" ht="14.5" x14ac:dyDescent="0.35">
      <c r="H665" s="129"/>
      <c r="I665" s="129"/>
      <c r="J665" s="130"/>
      <c r="K665" s="131"/>
      <c r="N665" s="134"/>
      <c r="O665" s="135"/>
      <c r="P665" s="136"/>
    </row>
    <row r="666" spans="8:16" ht="14.5" x14ac:dyDescent="0.35">
      <c r="H666" s="129"/>
      <c r="I666" s="129"/>
      <c r="J666" s="130"/>
      <c r="K666" s="131"/>
      <c r="N666" s="134"/>
      <c r="O666" s="135"/>
      <c r="P666" s="136"/>
    </row>
    <row r="667" spans="8:16" ht="14.5" x14ac:dyDescent="0.35">
      <c r="H667" s="129"/>
      <c r="I667" s="129"/>
      <c r="J667" s="130"/>
      <c r="K667" s="131"/>
      <c r="N667" s="134"/>
      <c r="O667" s="135"/>
      <c r="P667" s="136"/>
    </row>
    <row r="668" spans="8:16" ht="14.5" x14ac:dyDescent="0.35">
      <c r="H668" s="129"/>
      <c r="I668" s="129"/>
      <c r="J668" s="130"/>
      <c r="K668" s="131"/>
      <c r="N668" s="134"/>
      <c r="O668" s="135"/>
      <c r="P668" s="136"/>
    </row>
    <row r="669" spans="8:16" ht="14.5" x14ac:dyDescent="0.35">
      <c r="H669" s="129"/>
      <c r="I669" s="129"/>
      <c r="J669" s="130"/>
      <c r="K669" s="131"/>
      <c r="N669" s="134"/>
      <c r="O669" s="135"/>
      <c r="P669" s="136"/>
    </row>
    <row r="670" spans="8:16" ht="14.5" x14ac:dyDescent="0.35">
      <c r="H670" s="129"/>
      <c r="I670" s="129"/>
      <c r="J670" s="130"/>
      <c r="K670" s="131"/>
      <c r="N670" s="134"/>
      <c r="O670" s="135"/>
      <c r="P670" s="136"/>
    </row>
    <row r="671" spans="8:16" ht="14.5" x14ac:dyDescent="0.35">
      <c r="H671" s="129"/>
      <c r="I671" s="129"/>
      <c r="J671" s="130"/>
      <c r="K671" s="131"/>
      <c r="N671" s="134"/>
      <c r="O671" s="135"/>
      <c r="P671" s="136"/>
    </row>
    <row r="672" spans="8:16" ht="14.5" x14ac:dyDescent="0.35">
      <c r="H672" s="129"/>
      <c r="I672" s="129"/>
      <c r="J672" s="130"/>
      <c r="K672" s="131"/>
      <c r="N672" s="134"/>
      <c r="O672" s="135"/>
      <c r="P672" s="136"/>
    </row>
    <row r="673" spans="8:16" ht="14.5" x14ac:dyDescent="0.35">
      <c r="H673" s="129"/>
      <c r="I673" s="129"/>
      <c r="J673" s="130"/>
      <c r="K673" s="131"/>
      <c r="N673" s="134"/>
      <c r="O673" s="135"/>
      <c r="P673" s="136"/>
    </row>
    <row r="674" spans="8:16" ht="14.5" x14ac:dyDescent="0.35">
      <c r="H674" s="129"/>
      <c r="I674" s="129"/>
      <c r="J674" s="130"/>
      <c r="K674" s="131"/>
      <c r="N674" s="134"/>
      <c r="O674" s="135"/>
      <c r="P674" s="136"/>
    </row>
    <row r="675" spans="8:16" ht="14.5" x14ac:dyDescent="0.35">
      <c r="H675" s="129"/>
      <c r="I675" s="129"/>
      <c r="J675" s="130"/>
      <c r="K675" s="131"/>
      <c r="N675" s="134"/>
      <c r="O675" s="135"/>
      <c r="P675" s="136"/>
    </row>
    <row r="676" spans="8:16" ht="14.5" x14ac:dyDescent="0.35">
      <c r="H676" s="129"/>
      <c r="I676" s="129"/>
      <c r="J676" s="130"/>
      <c r="K676" s="131"/>
      <c r="N676" s="134"/>
      <c r="O676" s="135"/>
      <c r="P676" s="136"/>
    </row>
    <row r="677" spans="8:16" ht="14.5" x14ac:dyDescent="0.35">
      <c r="H677" s="129"/>
      <c r="I677" s="129"/>
      <c r="J677" s="130"/>
      <c r="K677" s="131"/>
      <c r="N677" s="134"/>
      <c r="O677" s="135"/>
      <c r="P677" s="136"/>
    </row>
    <row r="678" spans="8:16" ht="14.5" x14ac:dyDescent="0.35">
      <c r="H678" s="129"/>
      <c r="I678" s="129"/>
      <c r="J678" s="130"/>
      <c r="K678" s="131"/>
      <c r="N678" s="134"/>
      <c r="O678" s="135"/>
      <c r="P678" s="136"/>
    </row>
    <row r="679" spans="8:16" ht="14.5" x14ac:dyDescent="0.35">
      <c r="H679" s="129"/>
      <c r="I679" s="129"/>
      <c r="J679" s="130"/>
      <c r="K679" s="131"/>
      <c r="N679" s="134"/>
      <c r="O679" s="135"/>
      <c r="P679" s="136"/>
    </row>
    <row r="680" spans="8:16" ht="14.5" x14ac:dyDescent="0.35">
      <c r="H680" s="129"/>
      <c r="I680" s="129"/>
      <c r="J680" s="130"/>
      <c r="K680" s="131"/>
      <c r="N680" s="134"/>
      <c r="O680" s="135"/>
      <c r="P680" s="136"/>
    </row>
    <row r="681" spans="8:16" ht="14.5" x14ac:dyDescent="0.35">
      <c r="H681" s="129"/>
      <c r="I681" s="129"/>
      <c r="J681" s="130"/>
      <c r="K681" s="131"/>
      <c r="N681" s="134"/>
      <c r="O681" s="135"/>
      <c r="P681" s="136"/>
    </row>
    <row r="682" spans="8:16" ht="14.5" x14ac:dyDescent="0.35">
      <c r="H682" s="129"/>
      <c r="I682" s="129"/>
      <c r="J682" s="130"/>
      <c r="K682" s="131"/>
      <c r="N682" s="134"/>
      <c r="O682" s="135"/>
      <c r="P682" s="136"/>
    </row>
    <row r="683" spans="8:16" ht="14.5" x14ac:dyDescent="0.35">
      <c r="H683" s="129"/>
      <c r="I683" s="129"/>
      <c r="J683" s="130"/>
      <c r="K683" s="131"/>
      <c r="N683" s="134"/>
      <c r="O683" s="135"/>
      <c r="P683" s="136"/>
    </row>
    <row r="684" spans="8:16" ht="14.5" x14ac:dyDescent="0.35">
      <c r="H684" s="129"/>
      <c r="I684" s="129"/>
      <c r="J684" s="130"/>
      <c r="K684" s="131"/>
      <c r="N684" s="134"/>
      <c r="O684" s="135"/>
      <c r="P684" s="136"/>
    </row>
    <row r="685" spans="8:16" ht="14.5" x14ac:dyDescent="0.35">
      <c r="H685" s="129"/>
      <c r="I685" s="129"/>
      <c r="J685" s="130"/>
      <c r="K685" s="131"/>
      <c r="N685" s="134"/>
      <c r="O685" s="135"/>
      <c r="P685" s="136"/>
    </row>
    <row r="686" spans="8:16" ht="14.5" x14ac:dyDescent="0.35">
      <c r="H686" s="129"/>
      <c r="I686" s="129"/>
      <c r="J686" s="130"/>
      <c r="K686" s="131"/>
      <c r="N686" s="134"/>
      <c r="O686" s="135"/>
      <c r="P686" s="136"/>
    </row>
    <row r="687" spans="8:16" ht="14.5" x14ac:dyDescent="0.35">
      <c r="H687" s="129"/>
      <c r="I687" s="129"/>
      <c r="J687" s="130"/>
      <c r="K687" s="131"/>
      <c r="N687" s="134"/>
      <c r="O687" s="135"/>
      <c r="P687" s="136"/>
    </row>
    <row r="688" spans="8:16" ht="14.5" x14ac:dyDescent="0.35">
      <c r="H688" s="129"/>
      <c r="I688" s="129"/>
      <c r="J688" s="130"/>
      <c r="K688" s="131"/>
      <c r="N688" s="134"/>
      <c r="O688" s="135"/>
      <c r="P688" s="136"/>
    </row>
    <row r="689" spans="8:16" ht="14.5" x14ac:dyDescent="0.35">
      <c r="H689" s="129"/>
      <c r="I689" s="129"/>
      <c r="J689" s="130"/>
      <c r="K689" s="131"/>
      <c r="N689" s="134"/>
      <c r="O689" s="135"/>
      <c r="P689" s="136"/>
    </row>
    <row r="690" spans="8:16" ht="14.5" x14ac:dyDescent="0.35">
      <c r="H690" s="129"/>
      <c r="I690" s="129"/>
      <c r="J690" s="130"/>
      <c r="K690" s="131"/>
      <c r="N690" s="134"/>
      <c r="O690" s="135"/>
      <c r="P690" s="136"/>
    </row>
    <row r="691" spans="8:16" ht="14.5" x14ac:dyDescent="0.35">
      <c r="H691" s="129"/>
      <c r="I691" s="129"/>
      <c r="J691" s="130"/>
      <c r="K691" s="131"/>
      <c r="N691" s="134"/>
      <c r="O691" s="135"/>
      <c r="P691" s="136"/>
    </row>
    <row r="692" spans="8:16" ht="14.5" x14ac:dyDescent="0.35">
      <c r="H692" s="129"/>
      <c r="I692" s="129"/>
      <c r="J692" s="130"/>
      <c r="K692" s="131"/>
      <c r="N692" s="134"/>
      <c r="O692" s="135"/>
      <c r="P692" s="136"/>
    </row>
    <row r="693" spans="8:16" ht="14.5" x14ac:dyDescent="0.35">
      <c r="H693" s="129"/>
      <c r="I693" s="129"/>
      <c r="J693" s="130"/>
      <c r="K693" s="131"/>
      <c r="N693" s="134"/>
      <c r="O693" s="135"/>
      <c r="P693" s="136"/>
    </row>
    <row r="694" spans="8:16" ht="14.5" x14ac:dyDescent="0.35">
      <c r="H694" s="129"/>
      <c r="I694" s="129"/>
      <c r="J694" s="130"/>
      <c r="K694" s="131"/>
      <c r="N694" s="134"/>
      <c r="O694" s="135"/>
      <c r="P694" s="136"/>
    </row>
    <row r="695" spans="8:16" ht="14.5" x14ac:dyDescent="0.35">
      <c r="H695" s="129"/>
      <c r="I695" s="129"/>
      <c r="J695" s="130"/>
      <c r="K695" s="131"/>
      <c r="N695" s="134"/>
      <c r="O695" s="135"/>
      <c r="P695" s="136"/>
    </row>
    <row r="696" spans="8:16" ht="14.5" x14ac:dyDescent="0.35">
      <c r="H696" s="129"/>
      <c r="I696" s="129"/>
      <c r="J696" s="130"/>
      <c r="K696" s="131"/>
      <c r="N696" s="134"/>
      <c r="O696" s="135"/>
      <c r="P696" s="136"/>
    </row>
    <row r="697" spans="8:16" ht="14.5" x14ac:dyDescent="0.35">
      <c r="H697" s="129"/>
      <c r="I697" s="129"/>
      <c r="J697" s="130"/>
      <c r="K697" s="131"/>
      <c r="N697" s="134"/>
      <c r="O697" s="135"/>
      <c r="P697" s="136"/>
    </row>
    <row r="698" spans="8:16" ht="14.5" x14ac:dyDescent="0.35">
      <c r="H698" s="129"/>
      <c r="I698" s="129"/>
      <c r="J698" s="130"/>
      <c r="K698" s="131"/>
      <c r="N698" s="134"/>
      <c r="O698" s="135"/>
      <c r="P698" s="136"/>
    </row>
    <row r="699" spans="8:16" ht="14.5" x14ac:dyDescent="0.35">
      <c r="H699" s="129"/>
      <c r="I699" s="129"/>
      <c r="J699" s="130"/>
      <c r="K699" s="131"/>
      <c r="N699" s="134"/>
      <c r="O699" s="135"/>
      <c r="P699" s="136"/>
    </row>
    <row r="700" spans="8:16" ht="14.5" x14ac:dyDescent="0.35">
      <c r="H700" s="129"/>
      <c r="I700" s="129"/>
      <c r="J700" s="130"/>
      <c r="K700" s="131"/>
      <c r="N700" s="134"/>
      <c r="O700" s="135"/>
      <c r="P700" s="136"/>
    </row>
    <row r="701" spans="8:16" ht="14.5" x14ac:dyDescent="0.35">
      <c r="H701" s="129"/>
      <c r="I701" s="129"/>
      <c r="J701" s="130"/>
      <c r="K701" s="131"/>
      <c r="N701" s="134"/>
      <c r="O701" s="135"/>
      <c r="P701" s="136"/>
    </row>
    <row r="702" spans="8:16" ht="14.5" x14ac:dyDescent="0.35">
      <c r="H702" s="129"/>
      <c r="I702" s="129"/>
      <c r="J702" s="130"/>
      <c r="K702" s="131"/>
      <c r="N702" s="134"/>
      <c r="O702" s="135"/>
      <c r="P702" s="136"/>
    </row>
    <row r="703" spans="8:16" ht="14.5" x14ac:dyDescent="0.35">
      <c r="H703" s="129"/>
      <c r="I703" s="129"/>
      <c r="J703" s="130"/>
      <c r="K703" s="131"/>
      <c r="N703" s="134"/>
      <c r="O703" s="135"/>
      <c r="P703" s="136"/>
    </row>
    <row r="704" spans="8:16" ht="14.5" x14ac:dyDescent="0.35">
      <c r="H704" s="129"/>
      <c r="I704" s="129"/>
      <c r="J704" s="130"/>
      <c r="K704" s="131"/>
      <c r="N704" s="134"/>
      <c r="O704" s="135"/>
      <c r="P704" s="136"/>
    </row>
    <row r="705" spans="8:16" ht="14.5" x14ac:dyDescent="0.35">
      <c r="H705" s="129"/>
      <c r="I705" s="129"/>
      <c r="J705" s="130"/>
      <c r="K705" s="131"/>
      <c r="N705" s="134"/>
      <c r="O705" s="135"/>
      <c r="P705" s="136"/>
    </row>
    <row r="706" spans="8:16" ht="14.5" x14ac:dyDescent="0.35">
      <c r="H706" s="129"/>
      <c r="I706" s="129"/>
      <c r="J706" s="130"/>
      <c r="K706" s="131"/>
      <c r="N706" s="134"/>
      <c r="O706" s="135"/>
      <c r="P706" s="136"/>
    </row>
    <row r="707" spans="8:16" ht="14.5" x14ac:dyDescent="0.35">
      <c r="H707" s="129"/>
      <c r="I707" s="129"/>
      <c r="J707" s="130"/>
      <c r="K707" s="131"/>
      <c r="N707" s="134"/>
      <c r="O707" s="135"/>
      <c r="P707" s="136"/>
    </row>
    <row r="708" spans="8:16" ht="14.5" x14ac:dyDescent="0.35">
      <c r="H708" s="129"/>
      <c r="I708" s="129"/>
      <c r="J708" s="130"/>
      <c r="K708" s="131"/>
      <c r="N708" s="134"/>
      <c r="O708" s="135"/>
      <c r="P708" s="136"/>
    </row>
    <row r="709" spans="8:16" ht="14.5" x14ac:dyDescent="0.35">
      <c r="H709" s="129"/>
      <c r="I709" s="129"/>
      <c r="J709" s="130"/>
      <c r="K709" s="131"/>
      <c r="N709" s="134"/>
      <c r="O709" s="135"/>
      <c r="P709" s="136"/>
    </row>
    <row r="710" spans="8:16" ht="14.5" x14ac:dyDescent="0.35">
      <c r="H710" s="129"/>
      <c r="I710" s="129"/>
      <c r="J710" s="130"/>
      <c r="K710" s="131"/>
      <c r="N710" s="134"/>
      <c r="O710" s="135"/>
      <c r="P710" s="136"/>
    </row>
    <row r="711" spans="8:16" ht="14.5" x14ac:dyDescent="0.35">
      <c r="H711" s="129"/>
      <c r="I711" s="129"/>
      <c r="J711" s="130"/>
      <c r="K711" s="131"/>
      <c r="N711" s="134"/>
      <c r="O711" s="135"/>
      <c r="P711" s="136"/>
    </row>
    <row r="712" spans="8:16" ht="14.5" x14ac:dyDescent="0.35">
      <c r="H712" s="129"/>
      <c r="I712" s="129"/>
      <c r="J712" s="130"/>
      <c r="K712" s="131"/>
      <c r="N712" s="134"/>
      <c r="O712" s="135"/>
      <c r="P712" s="136"/>
    </row>
    <row r="713" spans="8:16" ht="14.5" x14ac:dyDescent="0.35">
      <c r="H713" s="129"/>
      <c r="I713" s="129"/>
      <c r="J713" s="130"/>
      <c r="K713" s="131"/>
      <c r="N713" s="134"/>
      <c r="O713" s="135"/>
      <c r="P713" s="136"/>
    </row>
    <row r="714" spans="8:16" ht="14.5" x14ac:dyDescent="0.35">
      <c r="H714" s="129"/>
      <c r="I714" s="129"/>
      <c r="J714" s="130"/>
      <c r="K714" s="131"/>
      <c r="N714" s="134"/>
      <c r="O714" s="135"/>
      <c r="P714" s="136"/>
    </row>
    <row r="715" spans="8:16" ht="14.5" x14ac:dyDescent="0.35">
      <c r="H715" s="129"/>
      <c r="I715" s="129"/>
      <c r="J715" s="130"/>
      <c r="K715" s="131"/>
      <c r="N715" s="134"/>
      <c r="O715" s="135"/>
      <c r="P715" s="136"/>
    </row>
    <row r="716" spans="8:16" ht="14.5" x14ac:dyDescent="0.35">
      <c r="H716" s="129"/>
      <c r="I716" s="129"/>
      <c r="J716" s="130"/>
      <c r="K716" s="131"/>
      <c r="N716" s="134"/>
      <c r="O716" s="135"/>
      <c r="P716" s="136"/>
    </row>
    <row r="717" spans="8:16" ht="14.5" x14ac:dyDescent="0.35">
      <c r="H717" s="129"/>
      <c r="I717" s="129"/>
      <c r="J717" s="130"/>
      <c r="K717" s="131"/>
      <c r="N717" s="134"/>
      <c r="O717" s="135"/>
      <c r="P717" s="136"/>
    </row>
    <row r="718" spans="8:16" ht="14.5" x14ac:dyDescent="0.35">
      <c r="H718" s="129"/>
      <c r="I718" s="129"/>
      <c r="J718" s="130"/>
      <c r="K718" s="131"/>
      <c r="N718" s="134"/>
      <c r="O718" s="135"/>
      <c r="P718" s="136"/>
    </row>
    <row r="719" spans="8:16" ht="14.5" x14ac:dyDescent="0.35">
      <c r="H719" s="129"/>
      <c r="I719" s="129"/>
      <c r="J719" s="130"/>
      <c r="K719" s="131"/>
      <c r="N719" s="134"/>
      <c r="O719" s="135"/>
      <c r="P719" s="136"/>
    </row>
    <row r="720" spans="8:16" ht="14.5" x14ac:dyDescent="0.35">
      <c r="H720" s="129"/>
      <c r="I720" s="129"/>
      <c r="J720" s="130"/>
      <c r="K720" s="131"/>
      <c r="N720" s="134"/>
      <c r="O720" s="135"/>
      <c r="P720" s="136"/>
    </row>
    <row r="721" spans="8:16" ht="14.5" x14ac:dyDescent="0.35">
      <c r="H721" s="129"/>
      <c r="I721" s="129"/>
      <c r="J721" s="130"/>
      <c r="K721" s="131"/>
      <c r="N721" s="134"/>
      <c r="O721" s="135"/>
      <c r="P721" s="136"/>
    </row>
    <row r="722" spans="8:16" ht="14.5" x14ac:dyDescent="0.35">
      <c r="H722" s="129"/>
      <c r="I722" s="129"/>
      <c r="J722" s="130"/>
      <c r="K722" s="131"/>
      <c r="N722" s="134"/>
      <c r="O722" s="135"/>
      <c r="P722" s="136"/>
    </row>
    <row r="723" spans="8:16" ht="14.5" x14ac:dyDescent="0.35">
      <c r="H723" s="129"/>
      <c r="I723" s="129"/>
      <c r="J723" s="130"/>
      <c r="K723" s="131"/>
      <c r="N723" s="134"/>
      <c r="O723" s="135"/>
      <c r="P723" s="136"/>
    </row>
    <row r="724" spans="8:16" ht="14.5" x14ac:dyDescent="0.35">
      <c r="H724" s="129"/>
      <c r="I724" s="129"/>
      <c r="J724" s="130"/>
      <c r="K724" s="131"/>
      <c r="N724" s="134"/>
      <c r="O724" s="135"/>
      <c r="P724" s="136"/>
    </row>
    <row r="725" spans="8:16" ht="14.5" x14ac:dyDescent="0.35">
      <c r="H725" s="129"/>
      <c r="I725" s="129"/>
      <c r="J725" s="130"/>
      <c r="K725" s="131"/>
      <c r="N725" s="134"/>
      <c r="O725" s="135"/>
      <c r="P725" s="136"/>
    </row>
    <row r="726" spans="8:16" ht="14.5" x14ac:dyDescent="0.35">
      <c r="H726" s="129"/>
      <c r="I726" s="129"/>
      <c r="J726" s="130"/>
      <c r="K726" s="131"/>
      <c r="N726" s="134"/>
      <c r="O726" s="135"/>
      <c r="P726" s="136"/>
    </row>
    <row r="727" spans="8:16" ht="14.5" x14ac:dyDescent="0.35">
      <c r="H727" s="129"/>
      <c r="I727" s="129"/>
      <c r="J727" s="130"/>
      <c r="K727" s="131"/>
      <c r="N727" s="134"/>
      <c r="O727" s="135"/>
      <c r="P727" s="136"/>
    </row>
    <row r="728" spans="8:16" ht="14.5" x14ac:dyDescent="0.35">
      <c r="H728" s="129"/>
      <c r="I728" s="129"/>
      <c r="J728" s="130"/>
      <c r="K728" s="131"/>
      <c r="N728" s="134"/>
      <c r="O728" s="135"/>
      <c r="P728" s="136"/>
    </row>
    <row r="729" spans="8:16" ht="14.5" x14ac:dyDescent="0.35">
      <c r="H729" s="129"/>
      <c r="I729" s="129"/>
      <c r="J729" s="130"/>
      <c r="K729" s="131"/>
      <c r="N729" s="134"/>
      <c r="O729" s="135"/>
      <c r="P729" s="136"/>
    </row>
    <row r="730" spans="8:16" ht="14.5" x14ac:dyDescent="0.35">
      <c r="H730" s="129"/>
      <c r="I730" s="129"/>
      <c r="J730" s="130"/>
      <c r="K730" s="131"/>
      <c r="N730" s="134"/>
      <c r="O730" s="135"/>
      <c r="P730" s="136"/>
    </row>
    <row r="731" spans="8:16" ht="14.5" x14ac:dyDescent="0.35">
      <c r="H731" s="129"/>
      <c r="I731" s="129"/>
      <c r="J731" s="130"/>
      <c r="K731" s="131"/>
      <c r="N731" s="134"/>
      <c r="O731" s="135"/>
      <c r="P731" s="136"/>
    </row>
    <row r="732" spans="8:16" ht="14.5" x14ac:dyDescent="0.35">
      <c r="H732" s="129"/>
      <c r="I732" s="129"/>
      <c r="J732" s="130"/>
      <c r="K732" s="131"/>
      <c r="N732" s="134"/>
      <c r="O732" s="135"/>
      <c r="P732" s="136"/>
    </row>
    <row r="733" spans="8:16" ht="14.5" x14ac:dyDescent="0.35">
      <c r="H733" s="129"/>
      <c r="I733" s="129"/>
      <c r="J733" s="130"/>
      <c r="K733" s="131"/>
      <c r="N733" s="134"/>
      <c r="O733" s="135"/>
      <c r="P733" s="136"/>
    </row>
    <row r="734" spans="8:16" ht="14.5" x14ac:dyDescent="0.35">
      <c r="H734" s="129"/>
      <c r="I734" s="129"/>
      <c r="J734" s="130"/>
      <c r="K734" s="131"/>
      <c r="N734" s="134"/>
      <c r="O734" s="135"/>
      <c r="P734" s="136"/>
    </row>
    <row r="735" spans="8:16" ht="14.5" x14ac:dyDescent="0.35">
      <c r="H735" s="129"/>
      <c r="I735" s="129"/>
      <c r="J735" s="130"/>
      <c r="K735" s="131"/>
      <c r="N735" s="134"/>
      <c r="O735" s="135"/>
      <c r="P735" s="136"/>
    </row>
    <row r="736" spans="8:16" ht="14.5" x14ac:dyDescent="0.35">
      <c r="H736" s="129"/>
      <c r="I736" s="129"/>
      <c r="J736" s="130"/>
      <c r="K736" s="131"/>
      <c r="N736" s="134"/>
      <c r="O736" s="135"/>
      <c r="P736" s="136"/>
    </row>
    <row r="737" spans="8:16" ht="14.5" x14ac:dyDescent="0.35">
      <c r="H737" s="129"/>
      <c r="I737" s="129"/>
      <c r="J737" s="130"/>
      <c r="K737" s="131"/>
      <c r="N737" s="134"/>
      <c r="O737" s="135"/>
      <c r="P737" s="136"/>
    </row>
    <row r="738" spans="8:16" ht="14.5" x14ac:dyDescent="0.35">
      <c r="H738" s="129"/>
      <c r="I738" s="129"/>
      <c r="J738" s="130"/>
      <c r="K738" s="131"/>
      <c r="N738" s="134"/>
      <c r="O738" s="135"/>
      <c r="P738" s="136"/>
    </row>
    <row r="739" spans="8:16" ht="14.5" x14ac:dyDescent="0.35">
      <c r="H739" s="129"/>
      <c r="I739" s="129"/>
      <c r="J739" s="130"/>
      <c r="K739" s="131"/>
      <c r="N739" s="134"/>
      <c r="O739" s="135"/>
      <c r="P739" s="136"/>
    </row>
    <row r="740" spans="8:16" ht="14.5" x14ac:dyDescent="0.35">
      <c r="H740" s="129"/>
      <c r="I740" s="129"/>
      <c r="J740" s="130"/>
      <c r="K740" s="131"/>
      <c r="N740" s="134"/>
      <c r="O740" s="135"/>
      <c r="P740" s="136"/>
    </row>
    <row r="741" spans="8:16" ht="14.5" x14ac:dyDescent="0.35">
      <c r="H741" s="129"/>
      <c r="I741" s="129"/>
      <c r="J741" s="130"/>
      <c r="K741" s="131"/>
      <c r="N741" s="134"/>
      <c r="O741" s="135"/>
      <c r="P741" s="136"/>
    </row>
    <row r="742" spans="8:16" ht="14.5" x14ac:dyDescent="0.35">
      <c r="H742" s="129"/>
      <c r="I742" s="129"/>
      <c r="J742" s="130"/>
      <c r="K742" s="131"/>
      <c r="N742" s="134"/>
      <c r="O742" s="135"/>
      <c r="P742" s="136"/>
    </row>
    <row r="743" spans="8:16" ht="14.5" x14ac:dyDescent="0.35">
      <c r="H743" s="129"/>
      <c r="I743" s="129"/>
      <c r="J743" s="130"/>
      <c r="K743" s="131"/>
      <c r="N743" s="134"/>
      <c r="O743" s="135"/>
      <c r="P743" s="136"/>
    </row>
    <row r="744" spans="8:16" ht="14.5" x14ac:dyDescent="0.35">
      <c r="H744" s="129"/>
      <c r="I744" s="129"/>
      <c r="J744" s="130"/>
      <c r="K744" s="131"/>
      <c r="N744" s="134"/>
      <c r="O744" s="135"/>
      <c r="P744" s="136"/>
    </row>
    <row r="745" spans="8:16" ht="14.5" x14ac:dyDescent="0.35">
      <c r="H745" s="129"/>
      <c r="I745" s="129"/>
      <c r="J745" s="130"/>
      <c r="K745" s="131"/>
      <c r="N745" s="134"/>
      <c r="O745" s="135"/>
      <c r="P745" s="136"/>
    </row>
    <row r="746" spans="8:16" ht="14.5" x14ac:dyDescent="0.35">
      <c r="H746" s="129"/>
      <c r="I746" s="129"/>
      <c r="J746" s="130"/>
      <c r="K746" s="131"/>
      <c r="N746" s="134"/>
      <c r="O746" s="135"/>
      <c r="P746" s="136"/>
    </row>
    <row r="747" spans="8:16" ht="14.5" x14ac:dyDescent="0.35">
      <c r="H747" s="129"/>
      <c r="I747" s="129"/>
      <c r="J747" s="130"/>
      <c r="K747" s="131"/>
      <c r="N747" s="134"/>
      <c r="O747" s="135"/>
      <c r="P747" s="136"/>
    </row>
    <row r="748" spans="8:16" ht="14.5" x14ac:dyDescent="0.35">
      <c r="H748" s="129"/>
      <c r="I748" s="129"/>
      <c r="J748" s="130"/>
      <c r="K748" s="131"/>
      <c r="N748" s="134"/>
      <c r="O748" s="135"/>
      <c r="P748" s="136"/>
    </row>
    <row r="749" spans="8:16" ht="14.5" x14ac:dyDescent="0.35">
      <c r="H749" s="129"/>
      <c r="I749" s="129"/>
      <c r="J749" s="130"/>
      <c r="K749" s="131"/>
      <c r="N749" s="134"/>
      <c r="O749" s="135"/>
      <c r="P749" s="136"/>
    </row>
    <row r="750" spans="8:16" ht="14.5" x14ac:dyDescent="0.35">
      <c r="H750" s="129"/>
      <c r="I750" s="129"/>
      <c r="J750" s="130"/>
      <c r="K750" s="131"/>
      <c r="N750" s="134"/>
      <c r="O750" s="135"/>
      <c r="P750" s="136"/>
    </row>
    <row r="751" spans="8:16" ht="14.5" x14ac:dyDescent="0.35">
      <c r="H751" s="129"/>
      <c r="I751" s="129"/>
      <c r="J751" s="130"/>
      <c r="K751" s="131"/>
      <c r="N751" s="134"/>
      <c r="O751" s="135"/>
      <c r="P751" s="136"/>
    </row>
    <row r="752" spans="8:16" ht="14.5" x14ac:dyDescent="0.35">
      <c r="H752" s="129"/>
      <c r="I752" s="129"/>
      <c r="J752" s="130"/>
      <c r="K752" s="131"/>
      <c r="N752" s="134"/>
      <c r="O752" s="135"/>
      <c r="P752" s="136"/>
    </row>
    <row r="753" spans="8:16" ht="14.5" x14ac:dyDescent="0.35">
      <c r="H753" s="129"/>
      <c r="I753" s="129"/>
      <c r="J753" s="130"/>
      <c r="K753" s="131"/>
      <c r="N753" s="134"/>
      <c r="O753" s="135"/>
      <c r="P753" s="136"/>
    </row>
    <row r="754" spans="8:16" ht="14.5" x14ac:dyDescent="0.35">
      <c r="H754" s="129"/>
      <c r="I754" s="129"/>
      <c r="J754" s="130"/>
      <c r="K754" s="131"/>
      <c r="N754" s="134"/>
      <c r="O754" s="135"/>
      <c r="P754" s="136"/>
    </row>
    <row r="755" spans="8:16" ht="14.5" x14ac:dyDescent="0.35">
      <c r="H755" s="129"/>
      <c r="I755" s="129"/>
      <c r="J755" s="130"/>
      <c r="K755" s="131"/>
      <c r="N755" s="134"/>
      <c r="O755" s="135"/>
      <c r="P755" s="136"/>
    </row>
    <row r="756" spans="8:16" ht="14.5" x14ac:dyDescent="0.35">
      <c r="H756" s="129"/>
      <c r="I756" s="129"/>
      <c r="J756" s="130"/>
      <c r="K756" s="131"/>
      <c r="N756" s="134"/>
      <c r="O756" s="135"/>
      <c r="P756" s="136"/>
    </row>
    <row r="757" spans="8:16" ht="14.5" x14ac:dyDescent="0.35">
      <c r="H757" s="129"/>
      <c r="I757" s="129"/>
      <c r="J757" s="130"/>
      <c r="K757" s="131"/>
      <c r="N757" s="134"/>
      <c r="O757" s="135"/>
      <c r="P757" s="136"/>
    </row>
    <row r="758" spans="8:16" ht="14.5" x14ac:dyDescent="0.35">
      <c r="H758" s="129"/>
      <c r="I758" s="129"/>
      <c r="J758" s="130"/>
      <c r="K758" s="131"/>
      <c r="N758" s="134"/>
      <c r="O758" s="135"/>
      <c r="P758" s="136"/>
    </row>
    <row r="759" spans="8:16" ht="14.5" x14ac:dyDescent="0.35">
      <c r="H759" s="129"/>
      <c r="I759" s="129"/>
      <c r="J759" s="130"/>
      <c r="K759" s="131"/>
      <c r="N759" s="134"/>
      <c r="O759" s="135"/>
      <c r="P759" s="136"/>
    </row>
    <row r="760" spans="8:16" ht="14.5" x14ac:dyDescent="0.35">
      <c r="H760" s="129"/>
      <c r="I760" s="129"/>
      <c r="J760" s="130"/>
      <c r="K760" s="131"/>
      <c r="N760" s="134"/>
      <c r="O760" s="135"/>
      <c r="P760" s="136"/>
    </row>
    <row r="761" spans="8:16" ht="14.5" x14ac:dyDescent="0.35">
      <c r="H761" s="129"/>
      <c r="I761" s="129"/>
      <c r="J761" s="130"/>
      <c r="K761" s="131"/>
      <c r="N761" s="134"/>
      <c r="O761" s="135"/>
      <c r="P761" s="136"/>
    </row>
    <row r="762" spans="8:16" ht="14.5" x14ac:dyDescent="0.35">
      <c r="H762" s="129"/>
      <c r="I762" s="129"/>
      <c r="J762" s="130"/>
      <c r="K762" s="131"/>
      <c r="N762" s="134"/>
      <c r="O762" s="135"/>
      <c r="P762" s="136"/>
    </row>
    <row r="763" spans="8:16" ht="14.5" x14ac:dyDescent="0.35">
      <c r="H763" s="129"/>
      <c r="I763" s="129"/>
      <c r="J763" s="130"/>
      <c r="K763" s="131"/>
      <c r="N763" s="134"/>
      <c r="O763" s="135"/>
      <c r="P763" s="136"/>
    </row>
    <row r="764" spans="8:16" ht="14.5" x14ac:dyDescent="0.35">
      <c r="H764" s="129"/>
      <c r="I764" s="129"/>
      <c r="J764" s="130"/>
      <c r="K764" s="131"/>
      <c r="N764" s="134"/>
      <c r="O764" s="135"/>
      <c r="P764" s="136"/>
    </row>
    <row r="765" spans="8:16" ht="14.5" x14ac:dyDescent="0.35">
      <c r="H765" s="129"/>
      <c r="I765" s="129"/>
      <c r="J765" s="130"/>
      <c r="K765" s="131"/>
      <c r="N765" s="134"/>
      <c r="O765" s="135"/>
      <c r="P765" s="136"/>
    </row>
    <row r="766" spans="8:16" ht="14.5" x14ac:dyDescent="0.35">
      <c r="H766" s="129"/>
      <c r="I766" s="129"/>
      <c r="J766" s="130"/>
      <c r="K766" s="131"/>
      <c r="N766" s="134"/>
      <c r="O766" s="135"/>
      <c r="P766" s="136"/>
    </row>
    <row r="767" spans="8:16" ht="14.5" x14ac:dyDescent="0.35">
      <c r="H767" s="129"/>
      <c r="I767" s="129"/>
      <c r="J767" s="130"/>
      <c r="K767" s="131"/>
      <c r="N767" s="134"/>
      <c r="O767" s="135"/>
      <c r="P767" s="136"/>
    </row>
    <row r="768" spans="8:16" ht="14.5" x14ac:dyDescent="0.35">
      <c r="H768" s="129"/>
      <c r="I768" s="129"/>
      <c r="J768" s="130"/>
      <c r="K768" s="131"/>
      <c r="N768" s="134"/>
      <c r="O768" s="135"/>
      <c r="P768" s="136"/>
    </row>
    <row r="769" spans="8:16" ht="14.5" x14ac:dyDescent="0.35">
      <c r="H769" s="129"/>
      <c r="I769" s="129"/>
      <c r="J769" s="130"/>
      <c r="K769" s="131"/>
      <c r="N769" s="134"/>
      <c r="O769" s="135"/>
      <c r="P769" s="136"/>
    </row>
    <row r="770" spans="8:16" ht="14.5" x14ac:dyDescent="0.35">
      <c r="H770" s="129"/>
      <c r="I770" s="129"/>
      <c r="J770" s="130"/>
      <c r="K770" s="131"/>
      <c r="N770" s="134"/>
      <c r="O770" s="135"/>
      <c r="P770" s="136"/>
    </row>
    <row r="771" spans="8:16" ht="14.5" x14ac:dyDescent="0.35">
      <c r="H771" s="129"/>
      <c r="I771" s="129"/>
      <c r="J771" s="130"/>
      <c r="K771" s="131"/>
      <c r="N771" s="134"/>
      <c r="O771" s="135"/>
      <c r="P771" s="136"/>
    </row>
    <row r="772" spans="8:16" ht="14.5" x14ac:dyDescent="0.35">
      <c r="H772" s="129"/>
      <c r="I772" s="129"/>
      <c r="J772" s="130"/>
      <c r="K772" s="131"/>
      <c r="N772" s="134"/>
      <c r="O772" s="135"/>
      <c r="P772" s="136"/>
    </row>
    <row r="773" spans="8:16" ht="14.5" x14ac:dyDescent="0.35">
      <c r="H773" s="129"/>
      <c r="I773" s="129"/>
      <c r="J773" s="130"/>
      <c r="K773" s="131"/>
      <c r="N773" s="134"/>
      <c r="O773" s="135"/>
      <c r="P773" s="136"/>
    </row>
    <row r="774" spans="8:16" ht="14.5" x14ac:dyDescent="0.35">
      <c r="H774" s="129"/>
      <c r="I774" s="129"/>
      <c r="J774" s="130"/>
      <c r="K774" s="131"/>
      <c r="N774" s="134"/>
      <c r="O774" s="135"/>
      <c r="P774" s="136"/>
    </row>
    <row r="775" spans="8:16" ht="14.5" x14ac:dyDescent="0.35">
      <c r="H775" s="129"/>
      <c r="I775" s="129"/>
      <c r="J775" s="130"/>
      <c r="K775" s="131"/>
      <c r="N775" s="134"/>
      <c r="O775" s="135"/>
      <c r="P775" s="136"/>
    </row>
    <row r="776" spans="8:16" ht="14.5" x14ac:dyDescent="0.35">
      <c r="H776" s="129"/>
      <c r="I776" s="129"/>
      <c r="J776" s="130"/>
      <c r="K776" s="131"/>
      <c r="N776" s="134"/>
      <c r="O776" s="135"/>
      <c r="P776" s="136"/>
    </row>
    <row r="777" spans="8:16" ht="14.5" x14ac:dyDescent="0.35">
      <c r="H777" s="129"/>
      <c r="I777" s="129"/>
      <c r="J777" s="130"/>
      <c r="K777" s="131"/>
      <c r="N777" s="134"/>
      <c r="O777" s="135"/>
      <c r="P777" s="136"/>
    </row>
    <row r="778" spans="8:16" ht="14.5" x14ac:dyDescent="0.35">
      <c r="H778" s="129"/>
      <c r="I778" s="129"/>
      <c r="J778" s="130"/>
      <c r="K778" s="131"/>
      <c r="N778" s="134"/>
      <c r="O778" s="135"/>
      <c r="P778" s="136"/>
    </row>
    <row r="779" spans="8:16" ht="14.5" x14ac:dyDescent="0.35">
      <c r="H779" s="129"/>
      <c r="I779" s="129"/>
      <c r="J779" s="130"/>
      <c r="K779" s="131"/>
      <c r="N779" s="134"/>
      <c r="O779" s="135"/>
      <c r="P779" s="136"/>
    </row>
    <row r="780" spans="8:16" ht="14.5" x14ac:dyDescent="0.35">
      <c r="H780" s="129"/>
      <c r="I780" s="129"/>
      <c r="J780" s="130"/>
      <c r="K780" s="131"/>
      <c r="N780" s="134"/>
      <c r="O780" s="135"/>
      <c r="P780" s="136"/>
    </row>
    <row r="781" spans="8:16" ht="14.5" x14ac:dyDescent="0.35">
      <c r="H781" s="129"/>
      <c r="I781" s="129"/>
      <c r="J781" s="130"/>
      <c r="K781" s="131"/>
      <c r="N781" s="134"/>
      <c r="O781" s="135"/>
      <c r="P781" s="136"/>
    </row>
    <row r="782" spans="8:16" ht="14.5" x14ac:dyDescent="0.35">
      <c r="H782" s="129"/>
      <c r="I782" s="129"/>
      <c r="J782" s="130"/>
      <c r="K782" s="131"/>
      <c r="N782" s="134"/>
      <c r="O782" s="135"/>
      <c r="P782" s="136"/>
    </row>
    <row r="783" spans="8:16" ht="14.5" x14ac:dyDescent="0.35">
      <c r="H783" s="129"/>
      <c r="I783" s="129"/>
      <c r="J783" s="130"/>
      <c r="K783" s="131"/>
      <c r="N783" s="134"/>
      <c r="O783" s="135"/>
      <c r="P783" s="136"/>
    </row>
    <row r="784" spans="8:16" ht="14.5" x14ac:dyDescent="0.35">
      <c r="H784" s="129"/>
      <c r="I784" s="129"/>
      <c r="J784" s="130"/>
      <c r="K784" s="131"/>
      <c r="N784" s="134"/>
      <c r="O784" s="135"/>
      <c r="P784" s="136"/>
    </row>
    <row r="785" spans="8:16" ht="14.5" x14ac:dyDescent="0.35">
      <c r="H785" s="129"/>
      <c r="I785" s="129"/>
      <c r="J785" s="130"/>
      <c r="K785" s="131"/>
      <c r="N785" s="134"/>
      <c r="O785" s="135"/>
      <c r="P785" s="136"/>
    </row>
    <row r="786" spans="8:16" ht="14.5" x14ac:dyDescent="0.35">
      <c r="H786" s="129"/>
      <c r="I786" s="129"/>
      <c r="J786" s="130"/>
      <c r="K786" s="131"/>
      <c r="N786" s="134"/>
      <c r="O786" s="135"/>
      <c r="P786" s="136"/>
    </row>
    <row r="787" spans="8:16" ht="14.5" x14ac:dyDescent="0.35">
      <c r="H787" s="129"/>
      <c r="I787" s="129"/>
      <c r="J787" s="130"/>
      <c r="K787" s="131"/>
      <c r="N787" s="134"/>
      <c r="O787" s="135"/>
      <c r="P787" s="136"/>
    </row>
    <row r="788" spans="8:16" ht="14.5" x14ac:dyDescent="0.35">
      <c r="H788" s="129"/>
      <c r="I788" s="129"/>
      <c r="J788" s="130"/>
      <c r="K788" s="131"/>
      <c r="N788" s="134"/>
      <c r="O788" s="135"/>
      <c r="P788" s="136"/>
    </row>
    <row r="789" spans="8:16" ht="14.5" x14ac:dyDescent="0.35">
      <c r="H789" s="129"/>
      <c r="I789" s="129"/>
      <c r="J789" s="130"/>
      <c r="K789" s="131"/>
      <c r="N789" s="134"/>
      <c r="O789" s="135"/>
      <c r="P789" s="136"/>
    </row>
    <row r="790" spans="8:16" ht="14.5" x14ac:dyDescent="0.35">
      <c r="H790" s="129"/>
      <c r="I790" s="129"/>
      <c r="J790" s="130"/>
      <c r="K790" s="131"/>
      <c r="N790" s="134"/>
      <c r="O790" s="135"/>
      <c r="P790" s="136"/>
    </row>
    <row r="791" spans="8:16" ht="14.5" x14ac:dyDescent="0.35">
      <c r="H791" s="129"/>
      <c r="I791" s="129"/>
      <c r="J791" s="130"/>
      <c r="K791" s="131"/>
      <c r="N791" s="134"/>
      <c r="O791" s="135"/>
      <c r="P791" s="136"/>
    </row>
    <row r="792" spans="8:16" ht="14.5" x14ac:dyDescent="0.35">
      <c r="H792" s="129"/>
      <c r="I792" s="129"/>
      <c r="J792" s="130"/>
      <c r="K792" s="131"/>
      <c r="N792" s="134"/>
      <c r="O792" s="135"/>
      <c r="P792" s="136"/>
    </row>
    <row r="793" spans="8:16" ht="14.5" x14ac:dyDescent="0.35">
      <c r="H793" s="129"/>
      <c r="I793" s="129"/>
      <c r="J793" s="130"/>
      <c r="K793" s="131"/>
      <c r="N793" s="134"/>
      <c r="O793" s="135"/>
      <c r="P793" s="136"/>
    </row>
    <row r="794" spans="8:16" ht="14.5" x14ac:dyDescent="0.35">
      <c r="H794" s="129"/>
      <c r="I794" s="129"/>
      <c r="J794" s="130"/>
      <c r="K794" s="131"/>
      <c r="N794" s="134"/>
      <c r="O794" s="135"/>
      <c r="P794" s="136"/>
    </row>
    <row r="795" spans="8:16" ht="14.5" x14ac:dyDescent="0.35">
      <c r="H795" s="129"/>
      <c r="I795" s="129"/>
      <c r="J795" s="130"/>
      <c r="K795" s="131"/>
      <c r="N795" s="134"/>
      <c r="O795" s="135"/>
      <c r="P795" s="136"/>
    </row>
    <row r="796" spans="8:16" ht="14.5" x14ac:dyDescent="0.35">
      <c r="H796" s="129"/>
      <c r="I796" s="129"/>
      <c r="J796" s="130"/>
      <c r="K796" s="131"/>
      <c r="N796" s="134"/>
      <c r="O796" s="135"/>
      <c r="P796" s="136"/>
    </row>
    <row r="797" spans="8:16" ht="14.5" x14ac:dyDescent="0.35">
      <c r="H797" s="129"/>
      <c r="I797" s="129"/>
      <c r="J797" s="130"/>
      <c r="K797" s="131"/>
      <c r="N797" s="134"/>
      <c r="O797" s="135"/>
      <c r="P797" s="136"/>
    </row>
    <row r="798" spans="8:16" ht="14.5" x14ac:dyDescent="0.35">
      <c r="H798" s="129"/>
      <c r="I798" s="129"/>
      <c r="J798" s="130"/>
      <c r="K798" s="131"/>
      <c r="N798" s="134"/>
      <c r="O798" s="135"/>
      <c r="P798" s="136"/>
    </row>
    <row r="799" spans="8:16" ht="14.5" x14ac:dyDescent="0.35">
      <c r="H799" s="129"/>
      <c r="I799" s="129"/>
      <c r="J799" s="130"/>
      <c r="K799" s="131"/>
      <c r="N799" s="134"/>
      <c r="O799" s="135"/>
      <c r="P799" s="136"/>
    </row>
    <row r="800" spans="8:16" ht="14.5" x14ac:dyDescent="0.35">
      <c r="H800" s="129"/>
      <c r="I800" s="129"/>
      <c r="J800" s="130"/>
      <c r="K800" s="131"/>
      <c r="N800" s="134"/>
      <c r="O800" s="135"/>
      <c r="P800" s="136"/>
    </row>
    <row r="801" spans="8:16" ht="14.5" x14ac:dyDescent="0.35">
      <c r="H801" s="129"/>
      <c r="I801" s="129"/>
      <c r="J801" s="130"/>
      <c r="K801" s="131"/>
      <c r="N801" s="134"/>
      <c r="O801" s="135"/>
      <c r="P801" s="136"/>
    </row>
    <row r="802" spans="8:16" ht="14.5" x14ac:dyDescent="0.35">
      <c r="H802" s="129"/>
      <c r="I802" s="129"/>
      <c r="J802" s="130"/>
      <c r="K802" s="131"/>
      <c r="N802" s="134"/>
      <c r="O802" s="135"/>
      <c r="P802" s="136"/>
    </row>
    <row r="803" spans="8:16" ht="14.5" x14ac:dyDescent="0.35">
      <c r="H803" s="129"/>
      <c r="I803" s="129"/>
      <c r="J803" s="130"/>
      <c r="K803" s="131"/>
      <c r="N803" s="134"/>
      <c r="O803" s="135"/>
      <c r="P803" s="136"/>
    </row>
    <row r="804" spans="8:16" ht="14.5" x14ac:dyDescent="0.35">
      <c r="H804" s="129"/>
      <c r="I804" s="129"/>
      <c r="J804" s="130"/>
      <c r="K804" s="131"/>
      <c r="N804" s="134"/>
      <c r="O804" s="135"/>
      <c r="P804" s="136"/>
    </row>
    <row r="805" spans="8:16" ht="14.5" x14ac:dyDescent="0.35">
      <c r="H805" s="129"/>
      <c r="I805" s="129"/>
      <c r="J805" s="130"/>
      <c r="K805" s="131"/>
      <c r="N805" s="134"/>
      <c r="O805" s="135"/>
      <c r="P805" s="136"/>
    </row>
    <row r="806" spans="8:16" ht="14.5" x14ac:dyDescent="0.35">
      <c r="H806" s="129"/>
      <c r="I806" s="129"/>
      <c r="J806" s="130"/>
      <c r="K806" s="131"/>
      <c r="N806" s="134"/>
      <c r="O806" s="135"/>
      <c r="P806" s="136"/>
    </row>
    <row r="807" spans="8:16" ht="14.5" x14ac:dyDescent="0.35">
      <c r="H807" s="129"/>
      <c r="I807" s="129"/>
      <c r="J807" s="130"/>
      <c r="K807" s="131"/>
      <c r="N807" s="134"/>
      <c r="O807" s="135"/>
      <c r="P807" s="136"/>
    </row>
    <row r="808" spans="8:16" ht="14.5" x14ac:dyDescent="0.35">
      <c r="H808" s="129"/>
      <c r="I808" s="129"/>
      <c r="J808" s="130"/>
      <c r="K808" s="131"/>
      <c r="N808" s="134"/>
      <c r="O808" s="135"/>
      <c r="P808" s="136"/>
    </row>
    <row r="809" spans="8:16" ht="14.5" x14ac:dyDescent="0.35">
      <c r="H809" s="129"/>
      <c r="I809" s="129"/>
      <c r="J809" s="130"/>
      <c r="K809" s="131"/>
      <c r="N809" s="134"/>
      <c r="O809" s="135"/>
      <c r="P809" s="136"/>
    </row>
    <row r="810" spans="8:16" ht="14.5" x14ac:dyDescent="0.35">
      <c r="H810" s="129"/>
      <c r="I810" s="129"/>
      <c r="J810" s="130"/>
      <c r="K810" s="131"/>
      <c r="N810" s="134"/>
      <c r="O810" s="135"/>
      <c r="P810" s="136"/>
    </row>
    <row r="811" spans="8:16" ht="14.5" x14ac:dyDescent="0.35">
      <c r="H811" s="129"/>
      <c r="I811" s="129"/>
      <c r="J811" s="130"/>
      <c r="K811" s="131"/>
      <c r="N811" s="134"/>
      <c r="O811" s="135"/>
      <c r="P811" s="136"/>
    </row>
    <row r="812" spans="8:16" ht="14.5" x14ac:dyDescent="0.35">
      <c r="H812" s="129"/>
      <c r="I812" s="129"/>
      <c r="J812" s="130"/>
      <c r="K812" s="131"/>
      <c r="N812" s="134"/>
      <c r="O812" s="135"/>
      <c r="P812" s="136"/>
    </row>
    <row r="813" spans="8:16" ht="14.5" x14ac:dyDescent="0.35">
      <c r="H813" s="129"/>
      <c r="I813" s="129"/>
      <c r="J813" s="130"/>
      <c r="K813" s="131"/>
      <c r="N813" s="134"/>
      <c r="O813" s="135"/>
      <c r="P813" s="136"/>
    </row>
    <row r="814" spans="8:16" ht="14.5" x14ac:dyDescent="0.35">
      <c r="H814" s="129"/>
      <c r="I814" s="129"/>
      <c r="J814" s="130"/>
      <c r="K814" s="131"/>
      <c r="N814" s="134"/>
      <c r="O814" s="135"/>
      <c r="P814" s="136"/>
    </row>
    <row r="815" spans="8:16" ht="14.5" x14ac:dyDescent="0.35">
      <c r="H815" s="129"/>
      <c r="I815" s="129"/>
      <c r="J815" s="130"/>
      <c r="K815" s="131"/>
      <c r="N815" s="134"/>
      <c r="O815" s="135"/>
      <c r="P815" s="136"/>
    </row>
    <row r="816" spans="8:16" ht="14.5" x14ac:dyDescent="0.35">
      <c r="H816" s="129"/>
      <c r="I816" s="129"/>
      <c r="J816" s="130"/>
      <c r="K816" s="131"/>
      <c r="N816" s="134"/>
      <c r="O816" s="135"/>
      <c r="P816" s="136"/>
    </row>
    <row r="817" spans="8:16" ht="14.5" x14ac:dyDescent="0.35">
      <c r="H817" s="129"/>
      <c r="I817" s="129"/>
      <c r="J817" s="130"/>
      <c r="K817" s="131"/>
      <c r="N817" s="134"/>
      <c r="O817" s="135"/>
      <c r="P817" s="136"/>
    </row>
    <row r="818" spans="8:16" ht="14.5" x14ac:dyDescent="0.35">
      <c r="H818" s="129"/>
      <c r="I818" s="129"/>
      <c r="J818" s="130"/>
      <c r="K818" s="131"/>
      <c r="N818" s="134"/>
      <c r="O818" s="135"/>
      <c r="P818" s="136"/>
    </row>
    <row r="819" spans="8:16" ht="14.5" x14ac:dyDescent="0.35">
      <c r="H819" s="129"/>
      <c r="I819" s="129"/>
      <c r="J819" s="130"/>
      <c r="K819" s="131"/>
      <c r="N819" s="134"/>
      <c r="O819" s="135"/>
      <c r="P819" s="136"/>
    </row>
    <row r="820" spans="8:16" ht="14.5" x14ac:dyDescent="0.35">
      <c r="H820" s="129"/>
      <c r="I820" s="129"/>
      <c r="J820" s="130"/>
      <c r="K820" s="131"/>
      <c r="N820" s="134"/>
      <c r="O820" s="135"/>
      <c r="P820" s="136"/>
    </row>
    <row r="821" spans="8:16" ht="14.5" x14ac:dyDescent="0.35">
      <c r="H821" s="129"/>
      <c r="I821" s="129"/>
      <c r="J821" s="130"/>
      <c r="K821" s="131"/>
      <c r="N821" s="134"/>
      <c r="O821" s="135"/>
      <c r="P821" s="136"/>
    </row>
    <row r="822" spans="8:16" ht="14.5" x14ac:dyDescent="0.35">
      <c r="H822" s="129"/>
      <c r="I822" s="129"/>
      <c r="J822" s="130"/>
      <c r="K822" s="131"/>
      <c r="N822" s="134"/>
      <c r="O822" s="135"/>
      <c r="P822" s="136"/>
    </row>
    <row r="823" spans="8:16" ht="14.5" x14ac:dyDescent="0.35">
      <c r="H823" s="129"/>
      <c r="I823" s="129"/>
      <c r="J823" s="130"/>
      <c r="K823" s="131"/>
      <c r="N823" s="134"/>
      <c r="O823" s="135"/>
      <c r="P823" s="136"/>
    </row>
    <row r="824" spans="8:16" ht="14.5" x14ac:dyDescent="0.35">
      <c r="H824" s="129"/>
      <c r="I824" s="129"/>
      <c r="J824" s="130"/>
      <c r="K824" s="131"/>
      <c r="N824" s="134"/>
      <c r="O824" s="135"/>
      <c r="P824" s="136"/>
    </row>
    <row r="825" spans="8:16" ht="14.5" x14ac:dyDescent="0.35">
      <c r="H825" s="129"/>
      <c r="I825" s="129"/>
      <c r="J825" s="130"/>
      <c r="K825" s="131"/>
      <c r="N825" s="134"/>
      <c r="O825" s="135"/>
      <c r="P825" s="136"/>
    </row>
    <row r="826" spans="8:16" ht="14.5" x14ac:dyDescent="0.35">
      <c r="H826" s="129"/>
      <c r="I826" s="129"/>
      <c r="J826" s="130"/>
      <c r="K826" s="131"/>
      <c r="N826" s="134"/>
      <c r="O826" s="135"/>
      <c r="P826" s="136"/>
    </row>
    <row r="827" spans="8:16" ht="14.5" x14ac:dyDescent="0.35">
      <c r="H827" s="129"/>
      <c r="I827" s="129"/>
      <c r="J827" s="130"/>
      <c r="K827" s="131"/>
      <c r="N827" s="134"/>
      <c r="O827" s="135"/>
      <c r="P827" s="136"/>
    </row>
    <row r="828" spans="8:16" ht="14.5" x14ac:dyDescent="0.35">
      <c r="H828" s="129"/>
      <c r="I828" s="129"/>
      <c r="J828" s="130"/>
      <c r="K828" s="131"/>
      <c r="N828" s="134"/>
      <c r="O828" s="135"/>
      <c r="P828" s="136"/>
    </row>
    <row r="829" spans="8:16" ht="14.5" x14ac:dyDescent="0.35">
      <c r="H829" s="129"/>
      <c r="I829" s="129"/>
      <c r="J829" s="130"/>
      <c r="K829" s="131"/>
      <c r="N829" s="134"/>
      <c r="O829" s="135"/>
      <c r="P829" s="136"/>
    </row>
    <row r="830" spans="8:16" ht="14.5" x14ac:dyDescent="0.35">
      <c r="H830" s="129"/>
      <c r="I830" s="129"/>
      <c r="J830" s="130"/>
      <c r="K830" s="131"/>
      <c r="N830" s="134"/>
      <c r="O830" s="135"/>
      <c r="P830" s="136"/>
    </row>
    <row r="831" spans="8:16" ht="14.5" x14ac:dyDescent="0.35">
      <c r="H831" s="129"/>
      <c r="I831" s="129"/>
      <c r="J831" s="130"/>
      <c r="K831" s="131"/>
      <c r="N831" s="134"/>
      <c r="O831" s="135"/>
      <c r="P831" s="136"/>
    </row>
    <row r="832" spans="8:16" ht="14.5" x14ac:dyDescent="0.35">
      <c r="H832" s="129"/>
      <c r="I832" s="129"/>
      <c r="J832" s="130"/>
      <c r="K832" s="131"/>
      <c r="N832" s="134"/>
      <c r="O832" s="135"/>
      <c r="P832" s="136"/>
    </row>
    <row r="833" spans="8:16" ht="14.5" x14ac:dyDescent="0.35">
      <c r="H833" s="129"/>
      <c r="I833" s="129"/>
      <c r="J833" s="130"/>
      <c r="K833" s="131"/>
      <c r="N833" s="134"/>
      <c r="O833" s="135"/>
      <c r="P833" s="136"/>
    </row>
    <row r="834" spans="8:16" ht="14.5" x14ac:dyDescent="0.35">
      <c r="H834" s="129"/>
      <c r="I834" s="129"/>
      <c r="J834" s="130"/>
      <c r="K834" s="131"/>
      <c r="N834" s="134"/>
      <c r="O834" s="135"/>
      <c r="P834" s="136"/>
    </row>
    <row r="835" spans="8:16" ht="14.5" x14ac:dyDescent="0.35">
      <c r="H835" s="129"/>
      <c r="I835" s="129"/>
      <c r="J835" s="130"/>
      <c r="K835" s="131"/>
      <c r="N835" s="134"/>
      <c r="O835" s="135"/>
      <c r="P835" s="136"/>
    </row>
    <row r="836" spans="8:16" ht="14.5" x14ac:dyDescent="0.35">
      <c r="H836" s="129"/>
      <c r="I836" s="129"/>
      <c r="J836" s="130"/>
      <c r="K836" s="131"/>
      <c r="N836" s="134"/>
      <c r="O836" s="135"/>
      <c r="P836" s="136"/>
    </row>
    <row r="837" spans="8:16" ht="14.5" x14ac:dyDescent="0.35">
      <c r="H837" s="129"/>
      <c r="I837" s="129"/>
      <c r="J837" s="130"/>
      <c r="K837" s="131"/>
      <c r="N837" s="134"/>
      <c r="O837" s="135"/>
      <c r="P837" s="136"/>
    </row>
    <row r="838" spans="8:16" ht="14.5" x14ac:dyDescent="0.35">
      <c r="H838" s="129"/>
      <c r="I838" s="129"/>
      <c r="J838" s="130"/>
      <c r="K838" s="131"/>
      <c r="N838" s="134"/>
      <c r="O838" s="135"/>
      <c r="P838" s="136"/>
    </row>
    <row r="839" spans="8:16" ht="14.5" x14ac:dyDescent="0.35">
      <c r="H839" s="129"/>
      <c r="I839" s="129"/>
      <c r="J839" s="130"/>
      <c r="K839" s="131"/>
      <c r="N839" s="134"/>
      <c r="O839" s="135"/>
      <c r="P839" s="136"/>
    </row>
    <row r="840" spans="8:16" ht="14.5" x14ac:dyDescent="0.35">
      <c r="H840" s="129"/>
      <c r="I840" s="129"/>
      <c r="J840" s="130"/>
      <c r="K840" s="131"/>
      <c r="N840" s="134"/>
      <c r="O840" s="135"/>
      <c r="P840" s="136"/>
    </row>
    <row r="841" spans="8:16" ht="14.5" x14ac:dyDescent="0.35">
      <c r="H841" s="129"/>
      <c r="I841" s="129"/>
      <c r="J841" s="130"/>
      <c r="K841" s="131"/>
      <c r="N841" s="134"/>
      <c r="O841" s="135"/>
      <c r="P841" s="136"/>
    </row>
    <row r="842" spans="8:16" ht="14.5" x14ac:dyDescent="0.35">
      <c r="H842" s="129"/>
      <c r="I842" s="129"/>
      <c r="J842" s="130"/>
      <c r="K842" s="131"/>
      <c r="N842" s="134"/>
      <c r="O842" s="135"/>
      <c r="P842" s="136"/>
    </row>
    <row r="843" spans="8:16" ht="14.5" x14ac:dyDescent="0.35">
      <c r="H843" s="129"/>
      <c r="I843" s="129"/>
      <c r="J843" s="130"/>
      <c r="K843" s="131"/>
      <c r="N843" s="134"/>
      <c r="O843" s="135"/>
      <c r="P843" s="136"/>
    </row>
    <row r="844" spans="8:16" ht="14.5" x14ac:dyDescent="0.35">
      <c r="H844" s="129"/>
      <c r="I844" s="129"/>
      <c r="J844" s="130"/>
      <c r="K844" s="131"/>
      <c r="N844" s="134"/>
      <c r="O844" s="135"/>
      <c r="P844" s="136"/>
    </row>
    <row r="845" spans="8:16" ht="14.5" x14ac:dyDescent="0.35">
      <c r="H845" s="129"/>
      <c r="I845" s="129"/>
      <c r="J845" s="130"/>
      <c r="K845" s="131"/>
      <c r="N845" s="134"/>
      <c r="O845" s="135"/>
      <c r="P845" s="136"/>
    </row>
    <row r="846" spans="8:16" ht="14.5" x14ac:dyDescent="0.35">
      <c r="H846" s="129"/>
      <c r="I846" s="129"/>
      <c r="J846" s="130"/>
      <c r="K846" s="131"/>
      <c r="N846" s="134"/>
      <c r="O846" s="135"/>
      <c r="P846" s="136"/>
    </row>
    <row r="847" spans="8:16" ht="14.5" x14ac:dyDescent="0.35">
      <c r="H847" s="129"/>
      <c r="I847" s="129"/>
      <c r="J847" s="130"/>
      <c r="K847" s="131"/>
      <c r="N847" s="134"/>
      <c r="O847" s="135"/>
      <c r="P847" s="136"/>
    </row>
    <row r="848" spans="8:16" ht="14.5" x14ac:dyDescent="0.35">
      <c r="H848" s="129"/>
      <c r="I848" s="129"/>
      <c r="J848" s="130"/>
      <c r="K848" s="131"/>
      <c r="N848" s="134"/>
      <c r="O848" s="135"/>
      <c r="P848" s="136"/>
    </row>
    <row r="849" spans="8:16" ht="14.5" x14ac:dyDescent="0.35">
      <c r="H849" s="129"/>
      <c r="I849" s="129"/>
      <c r="J849" s="130"/>
      <c r="K849" s="131"/>
      <c r="N849" s="134"/>
      <c r="O849" s="135"/>
      <c r="P849" s="136"/>
    </row>
    <row r="850" spans="8:16" ht="14.5" x14ac:dyDescent="0.35">
      <c r="H850" s="129"/>
      <c r="I850" s="129"/>
      <c r="J850" s="130"/>
      <c r="K850" s="131"/>
      <c r="N850" s="134"/>
      <c r="O850" s="135"/>
      <c r="P850" s="136"/>
    </row>
    <row r="851" spans="8:16" ht="14.5" x14ac:dyDescent="0.35">
      <c r="H851" s="129"/>
      <c r="I851" s="129"/>
      <c r="J851" s="130"/>
      <c r="K851" s="131"/>
      <c r="N851" s="134"/>
      <c r="O851" s="135"/>
      <c r="P851" s="136"/>
    </row>
    <row r="852" spans="8:16" ht="14.5" x14ac:dyDescent="0.35">
      <c r="H852" s="129"/>
      <c r="I852" s="129"/>
      <c r="J852" s="130"/>
      <c r="K852" s="131"/>
      <c r="N852" s="134"/>
      <c r="O852" s="135"/>
      <c r="P852" s="136"/>
    </row>
    <row r="853" spans="8:16" ht="14.5" x14ac:dyDescent="0.35">
      <c r="H853" s="129"/>
      <c r="I853" s="129"/>
      <c r="J853" s="130"/>
      <c r="K853" s="131"/>
      <c r="N853" s="134"/>
      <c r="O853" s="135"/>
      <c r="P853" s="136"/>
    </row>
    <row r="854" spans="8:16" ht="14.5" x14ac:dyDescent="0.35">
      <c r="H854" s="129"/>
      <c r="I854" s="129"/>
      <c r="J854" s="130"/>
      <c r="K854" s="131"/>
      <c r="N854" s="134"/>
      <c r="O854" s="135"/>
      <c r="P854" s="136"/>
    </row>
    <row r="855" spans="8:16" ht="14.5" x14ac:dyDescent="0.35">
      <c r="H855" s="129"/>
      <c r="I855" s="129"/>
      <c r="J855" s="130"/>
      <c r="K855" s="131"/>
      <c r="N855" s="134"/>
      <c r="O855" s="135"/>
      <c r="P855" s="136"/>
    </row>
    <row r="856" spans="8:16" ht="14.5" x14ac:dyDescent="0.35">
      <c r="H856" s="129"/>
      <c r="I856" s="129"/>
      <c r="J856" s="130"/>
      <c r="K856" s="131"/>
      <c r="N856" s="134"/>
      <c r="O856" s="135"/>
      <c r="P856" s="136"/>
    </row>
    <row r="857" spans="8:16" ht="14.5" x14ac:dyDescent="0.35">
      <c r="H857" s="129"/>
      <c r="I857" s="129"/>
      <c r="J857" s="130"/>
      <c r="K857" s="131"/>
      <c r="N857" s="134"/>
      <c r="O857" s="135"/>
      <c r="P857" s="136"/>
    </row>
    <row r="858" spans="8:16" ht="14.5" x14ac:dyDescent="0.35">
      <c r="H858" s="129"/>
      <c r="I858" s="129"/>
      <c r="J858" s="130"/>
      <c r="K858" s="131"/>
      <c r="N858" s="134"/>
      <c r="O858" s="135"/>
      <c r="P858" s="136"/>
    </row>
    <row r="859" spans="8:16" ht="14.5" x14ac:dyDescent="0.35">
      <c r="H859" s="129"/>
      <c r="I859" s="129"/>
      <c r="J859" s="130"/>
      <c r="K859" s="131"/>
      <c r="N859" s="134"/>
      <c r="O859" s="135"/>
      <c r="P859" s="136"/>
    </row>
    <row r="860" spans="8:16" ht="14.5" x14ac:dyDescent="0.35">
      <c r="H860" s="129"/>
      <c r="I860" s="129"/>
      <c r="J860" s="130"/>
      <c r="K860" s="131"/>
      <c r="N860" s="134"/>
      <c r="O860" s="135"/>
      <c r="P860" s="136"/>
    </row>
    <row r="861" spans="8:16" ht="14.5" x14ac:dyDescent="0.35">
      <c r="H861" s="129"/>
      <c r="I861" s="129"/>
      <c r="J861" s="130"/>
      <c r="K861" s="131"/>
      <c r="N861" s="134"/>
      <c r="O861" s="135"/>
      <c r="P861" s="136"/>
    </row>
    <row r="862" spans="8:16" ht="14.5" x14ac:dyDescent="0.35">
      <c r="H862" s="129"/>
      <c r="I862" s="129"/>
      <c r="J862" s="130"/>
      <c r="K862" s="131"/>
      <c r="N862" s="134"/>
      <c r="O862" s="135"/>
      <c r="P862" s="136"/>
    </row>
    <row r="863" spans="8:16" ht="14.5" x14ac:dyDescent="0.35">
      <c r="H863" s="129"/>
      <c r="I863" s="129"/>
      <c r="J863" s="130"/>
      <c r="K863" s="131"/>
      <c r="N863" s="134"/>
      <c r="O863" s="135"/>
      <c r="P863" s="136"/>
    </row>
    <row r="864" spans="8:16" ht="14.5" x14ac:dyDescent="0.35">
      <c r="H864" s="129"/>
      <c r="I864" s="129"/>
      <c r="J864" s="130"/>
      <c r="K864" s="131"/>
      <c r="N864" s="134"/>
      <c r="O864" s="135"/>
      <c r="P864" s="136"/>
    </row>
    <row r="865" spans="8:16" ht="14.5" x14ac:dyDescent="0.35">
      <c r="H865" s="129"/>
      <c r="I865" s="129"/>
      <c r="J865" s="130"/>
      <c r="K865" s="131"/>
      <c r="N865" s="134"/>
      <c r="O865" s="135"/>
      <c r="P865" s="136"/>
    </row>
    <row r="866" spans="8:16" ht="14.5" x14ac:dyDescent="0.35">
      <c r="H866" s="129"/>
      <c r="I866" s="129"/>
      <c r="J866" s="130"/>
      <c r="K866" s="131"/>
      <c r="N866" s="134"/>
      <c r="O866" s="135"/>
      <c r="P866" s="136"/>
    </row>
    <row r="867" spans="8:16" ht="14.5" x14ac:dyDescent="0.35">
      <c r="H867" s="129"/>
      <c r="I867" s="129"/>
      <c r="J867" s="130"/>
      <c r="K867" s="131"/>
      <c r="N867" s="134"/>
      <c r="O867" s="135"/>
      <c r="P867" s="136"/>
    </row>
    <row r="868" spans="8:16" ht="14.5" x14ac:dyDescent="0.35">
      <c r="H868" s="129"/>
      <c r="I868" s="129"/>
      <c r="J868" s="130"/>
      <c r="K868" s="131"/>
      <c r="N868" s="134"/>
      <c r="O868" s="135"/>
      <c r="P868" s="136"/>
    </row>
    <row r="869" spans="8:16" ht="14.5" x14ac:dyDescent="0.35">
      <c r="H869" s="129"/>
      <c r="I869" s="129"/>
      <c r="J869" s="130"/>
      <c r="K869" s="131"/>
      <c r="N869" s="134"/>
      <c r="O869" s="135"/>
      <c r="P869" s="136"/>
    </row>
    <row r="870" spans="8:16" ht="14.5" x14ac:dyDescent="0.35">
      <c r="H870" s="129"/>
      <c r="I870" s="129"/>
      <c r="J870" s="130"/>
      <c r="K870" s="131"/>
      <c r="N870" s="134"/>
      <c r="O870" s="135"/>
      <c r="P870" s="136"/>
    </row>
    <row r="871" spans="8:16" ht="14.5" x14ac:dyDescent="0.35">
      <c r="H871" s="129"/>
      <c r="I871" s="129"/>
      <c r="J871" s="130"/>
      <c r="K871" s="131"/>
      <c r="N871" s="134"/>
      <c r="O871" s="135"/>
      <c r="P871" s="136"/>
    </row>
    <row r="872" spans="8:16" ht="14.5" x14ac:dyDescent="0.35">
      <c r="H872" s="129"/>
      <c r="I872" s="129"/>
      <c r="J872" s="130"/>
      <c r="K872" s="131"/>
      <c r="N872" s="134"/>
      <c r="O872" s="135"/>
      <c r="P872" s="136"/>
    </row>
    <row r="873" spans="8:16" ht="14.5" x14ac:dyDescent="0.35">
      <c r="H873" s="129"/>
      <c r="I873" s="129"/>
      <c r="J873" s="130"/>
      <c r="K873" s="131"/>
      <c r="N873" s="134"/>
      <c r="O873" s="135"/>
      <c r="P873" s="136"/>
    </row>
    <row r="874" spans="8:16" ht="14.5" x14ac:dyDescent="0.35">
      <c r="H874" s="129"/>
      <c r="I874" s="129"/>
      <c r="J874" s="130"/>
      <c r="K874" s="131"/>
      <c r="N874" s="134"/>
      <c r="O874" s="135"/>
      <c r="P874" s="136"/>
    </row>
    <row r="875" spans="8:16" ht="14.5" x14ac:dyDescent="0.35">
      <c r="H875" s="129"/>
      <c r="I875" s="129"/>
      <c r="J875" s="130"/>
      <c r="K875" s="131"/>
      <c r="N875" s="134"/>
      <c r="O875" s="135"/>
      <c r="P875" s="136"/>
    </row>
    <row r="876" spans="8:16" ht="14.5" x14ac:dyDescent="0.35">
      <c r="H876" s="129"/>
      <c r="I876" s="129"/>
      <c r="J876" s="130"/>
      <c r="K876" s="131"/>
      <c r="N876" s="134"/>
      <c r="O876" s="135"/>
      <c r="P876" s="136"/>
    </row>
    <row r="877" spans="8:16" ht="14.5" x14ac:dyDescent="0.35">
      <c r="H877" s="129"/>
      <c r="I877" s="129"/>
      <c r="J877" s="130"/>
      <c r="K877" s="131"/>
      <c r="N877" s="134"/>
      <c r="O877" s="135"/>
      <c r="P877" s="136"/>
    </row>
    <row r="878" spans="8:16" ht="14.5" x14ac:dyDescent="0.35">
      <c r="H878" s="129"/>
      <c r="I878" s="129"/>
      <c r="J878" s="130"/>
      <c r="K878" s="131"/>
      <c r="N878" s="134"/>
      <c r="O878" s="135"/>
      <c r="P878" s="136"/>
    </row>
    <row r="879" spans="8:16" ht="14.5" x14ac:dyDescent="0.35">
      <c r="H879" s="129"/>
      <c r="I879" s="129"/>
      <c r="J879" s="130"/>
      <c r="K879" s="131"/>
      <c r="N879" s="134"/>
      <c r="O879" s="135"/>
      <c r="P879" s="136"/>
    </row>
    <row r="880" spans="8:16" ht="14.5" x14ac:dyDescent="0.35">
      <c r="H880" s="129"/>
      <c r="I880" s="129"/>
      <c r="J880" s="130"/>
      <c r="K880" s="131"/>
      <c r="N880" s="134"/>
      <c r="O880" s="135"/>
      <c r="P880" s="136"/>
    </row>
    <row r="881" spans="8:16" ht="14.5" x14ac:dyDescent="0.35">
      <c r="H881" s="129"/>
      <c r="I881" s="129"/>
      <c r="J881" s="130"/>
      <c r="K881" s="131"/>
      <c r="N881" s="134"/>
      <c r="O881" s="135"/>
      <c r="P881" s="136"/>
    </row>
    <row r="882" spans="8:16" ht="14.5" x14ac:dyDescent="0.35">
      <c r="H882" s="129"/>
      <c r="I882" s="129"/>
      <c r="J882" s="130"/>
      <c r="K882" s="131"/>
      <c r="N882" s="134"/>
      <c r="O882" s="135"/>
      <c r="P882" s="136"/>
    </row>
    <row r="883" spans="8:16" ht="14.5" x14ac:dyDescent="0.35">
      <c r="H883" s="129"/>
      <c r="I883" s="129"/>
      <c r="J883" s="130"/>
      <c r="K883" s="131"/>
      <c r="N883" s="134"/>
      <c r="O883" s="135"/>
      <c r="P883" s="136"/>
    </row>
    <row r="884" spans="8:16" ht="14.5" x14ac:dyDescent="0.35">
      <c r="H884" s="129"/>
      <c r="I884" s="129"/>
      <c r="J884" s="130"/>
      <c r="K884" s="131"/>
      <c r="N884" s="134"/>
      <c r="O884" s="135"/>
      <c r="P884" s="136"/>
    </row>
    <row r="885" spans="8:16" ht="14.5" x14ac:dyDescent="0.35">
      <c r="H885" s="129"/>
      <c r="I885" s="129"/>
      <c r="J885" s="130"/>
      <c r="K885" s="131"/>
      <c r="N885" s="134"/>
      <c r="O885" s="135"/>
      <c r="P885" s="136"/>
    </row>
    <row r="886" spans="8:16" ht="14.5" x14ac:dyDescent="0.35">
      <c r="H886" s="129"/>
      <c r="I886" s="129"/>
      <c r="J886" s="130"/>
      <c r="K886" s="131"/>
      <c r="N886" s="134"/>
      <c r="O886" s="135"/>
      <c r="P886" s="136"/>
    </row>
    <row r="887" spans="8:16" ht="14.5" x14ac:dyDescent="0.35">
      <c r="H887" s="129"/>
      <c r="I887" s="129"/>
      <c r="J887" s="130"/>
      <c r="K887" s="131"/>
      <c r="N887" s="134"/>
      <c r="O887" s="135"/>
      <c r="P887" s="136"/>
    </row>
    <row r="888" spans="8:16" ht="14.5" x14ac:dyDescent="0.35">
      <c r="H888" s="129"/>
      <c r="I888" s="129"/>
      <c r="J888" s="130"/>
      <c r="K888" s="131"/>
      <c r="N888" s="134"/>
      <c r="O888" s="135"/>
      <c r="P888" s="136"/>
    </row>
    <row r="889" spans="8:16" ht="14.5" x14ac:dyDescent="0.35">
      <c r="H889" s="129"/>
      <c r="I889" s="129"/>
      <c r="J889" s="130"/>
      <c r="K889" s="131"/>
      <c r="N889" s="134"/>
      <c r="O889" s="135"/>
      <c r="P889" s="136"/>
    </row>
    <row r="890" spans="8:16" ht="14.5" x14ac:dyDescent="0.35">
      <c r="H890" s="129"/>
      <c r="I890" s="129"/>
      <c r="J890" s="130"/>
      <c r="K890" s="131"/>
      <c r="N890" s="134"/>
      <c r="O890" s="135"/>
      <c r="P890" s="136"/>
    </row>
    <row r="891" spans="8:16" ht="14.5" x14ac:dyDescent="0.35">
      <c r="H891" s="129"/>
      <c r="I891" s="129"/>
      <c r="J891" s="130"/>
      <c r="K891" s="131"/>
      <c r="N891" s="134"/>
      <c r="O891" s="135"/>
      <c r="P891" s="136"/>
    </row>
    <row r="892" spans="8:16" ht="14.5" x14ac:dyDescent="0.35">
      <c r="H892" s="129"/>
      <c r="I892" s="129"/>
      <c r="J892" s="130"/>
      <c r="K892" s="131"/>
      <c r="N892" s="134"/>
      <c r="O892" s="135"/>
      <c r="P892" s="136"/>
    </row>
    <row r="893" spans="8:16" ht="14.5" x14ac:dyDescent="0.35">
      <c r="H893" s="129"/>
      <c r="I893" s="129"/>
      <c r="J893" s="130"/>
      <c r="K893" s="131"/>
      <c r="N893" s="134"/>
      <c r="O893" s="135"/>
      <c r="P893" s="136"/>
    </row>
    <row r="894" spans="8:16" ht="14.5" x14ac:dyDescent="0.35">
      <c r="H894" s="129"/>
      <c r="I894" s="129"/>
      <c r="J894" s="130"/>
      <c r="K894" s="131"/>
      <c r="N894" s="134"/>
      <c r="O894" s="135"/>
      <c r="P894" s="136"/>
    </row>
    <row r="895" spans="8:16" ht="14.5" x14ac:dyDescent="0.35">
      <c r="H895" s="129"/>
      <c r="I895" s="129"/>
      <c r="J895" s="130"/>
      <c r="K895" s="131"/>
      <c r="N895" s="134"/>
      <c r="O895" s="135"/>
      <c r="P895" s="136"/>
    </row>
    <row r="896" spans="8:16" ht="14.5" x14ac:dyDescent="0.35">
      <c r="H896" s="129"/>
      <c r="I896" s="129"/>
      <c r="J896" s="130"/>
      <c r="K896" s="131"/>
      <c r="N896" s="134"/>
      <c r="O896" s="135"/>
      <c r="P896" s="136"/>
    </row>
    <row r="897" spans="8:16" ht="14.5" x14ac:dyDescent="0.35">
      <c r="H897" s="129"/>
      <c r="I897" s="129"/>
      <c r="J897" s="130"/>
      <c r="K897" s="131"/>
      <c r="N897" s="134"/>
      <c r="O897" s="135"/>
      <c r="P897" s="136"/>
    </row>
    <row r="898" spans="8:16" ht="14.5" x14ac:dyDescent="0.35">
      <c r="H898" s="129"/>
      <c r="I898" s="129"/>
      <c r="J898" s="130"/>
      <c r="K898" s="131"/>
      <c r="N898" s="134"/>
      <c r="O898" s="135"/>
      <c r="P898" s="136"/>
    </row>
    <row r="899" spans="8:16" ht="14.5" x14ac:dyDescent="0.35">
      <c r="H899" s="129"/>
      <c r="I899" s="129"/>
      <c r="J899" s="130"/>
      <c r="K899" s="131"/>
      <c r="N899" s="134"/>
      <c r="O899" s="135"/>
      <c r="P899" s="136"/>
    </row>
    <row r="900" spans="8:16" ht="14.5" x14ac:dyDescent="0.35">
      <c r="H900" s="129"/>
      <c r="I900" s="129"/>
      <c r="J900" s="130"/>
      <c r="K900" s="131"/>
      <c r="N900" s="134"/>
      <c r="O900" s="135"/>
      <c r="P900" s="136"/>
    </row>
    <row r="901" spans="8:16" ht="14.5" x14ac:dyDescent="0.35">
      <c r="H901" s="129"/>
      <c r="I901" s="129"/>
      <c r="J901" s="130"/>
      <c r="K901" s="131"/>
      <c r="N901" s="134"/>
      <c r="O901" s="135"/>
      <c r="P901" s="136"/>
    </row>
    <row r="902" spans="8:16" ht="14.5" x14ac:dyDescent="0.35">
      <c r="H902" s="129"/>
      <c r="I902" s="129"/>
      <c r="J902" s="130"/>
      <c r="K902" s="131"/>
      <c r="N902" s="134"/>
      <c r="O902" s="135"/>
      <c r="P902" s="136"/>
    </row>
    <row r="903" spans="8:16" ht="14.5" x14ac:dyDescent="0.35">
      <c r="H903" s="129"/>
      <c r="I903" s="129"/>
      <c r="J903" s="130"/>
      <c r="K903" s="131"/>
      <c r="N903" s="134"/>
      <c r="O903" s="135"/>
      <c r="P903" s="136"/>
    </row>
    <row r="904" spans="8:16" ht="14.5" x14ac:dyDescent="0.35">
      <c r="H904" s="129"/>
      <c r="I904" s="129"/>
      <c r="J904" s="130"/>
      <c r="K904" s="131"/>
      <c r="N904" s="134"/>
      <c r="O904" s="135"/>
      <c r="P904" s="136"/>
    </row>
    <row r="905" spans="8:16" ht="14.5" x14ac:dyDescent="0.35">
      <c r="H905" s="129"/>
      <c r="I905" s="129"/>
      <c r="J905" s="130"/>
      <c r="K905" s="131"/>
      <c r="N905" s="134"/>
      <c r="O905" s="135"/>
      <c r="P905" s="136"/>
    </row>
    <row r="906" spans="8:16" ht="14.5" x14ac:dyDescent="0.35">
      <c r="H906" s="129"/>
      <c r="I906" s="129"/>
      <c r="J906" s="130"/>
      <c r="K906" s="131"/>
      <c r="N906" s="134"/>
      <c r="O906" s="135"/>
      <c r="P906" s="136"/>
    </row>
    <row r="907" spans="8:16" ht="14.5" x14ac:dyDescent="0.35">
      <c r="H907" s="129"/>
      <c r="I907" s="129"/>
      <c r="J907" s="130"/>
      <c r="K907" s="131"/>
      <c r="N907" s="134"/>
      <c r="O907" s="135"/>
      <c r="P907" s="136"/>
    </row>
    <row r="908" spans="8:16" ht="14.5" x14ac:dyDescent="0.35">
      <c r="H908" s="129"/>
      <c r="I908" s="129"/>
      <c r="J908" s="130"/>
      <c r="K908" s="131"/>
      <c r="N908" s="134"/>
      <c r="O908" s="135"/>
      <c r="P908" s="136"/>
    </row>
    <row r="909" spans="8:16" ht="14.5" x14ac:dyDescent="0.35">
      <c r="H909" s="129"/>
      <c r="I909" s="129"/>
      <c r="J909" s="130"/>
      <c r="K909" s="131"/>
      <c r="N909" s="134"/>
      <c r="O909" s="135"/>
      <c r="P909" s="136"/>
    </row>
    <row r="910" spans="8:16" ht="14.5" x14ac:dyDescent="0.35">
      <c r="H910" s="129"/>
      <c r="I910" s="129"/>
      <c r="J910" s="130"/>
      <c r="K910" s="131"/>
      <c r="N910" s="134"/>
      <c r="O910" s="135"/>
      <c r="P910" s="136"/>
    </row>
    <row r="911" spans="8:16" ht="14.5" x14ac:dyDescent="0.35">
      <c r="H911" s="129"/>
      <c r="I911" s="129"/>
      <c r="J911" s="130"/>
      <c r="K911" s="131"/>
      <c r="N911" s="134"/>
      <c r="O911" s="135"/>
      <c r="P911" s="136"/>
    </row>
    <row r="912" spans="8:16" ht="14.5" x14ac:dyDescent="0.35">
      <c r="H912" s="129"/>
      <c r="I912" s="129"/>
      <c r="J912" s="130"/>
      <c r="K912" s="131"/>
      <c r="N912" s="134"/>
      <c r="O912" s="135"/>
      <c r="P912" s="136"/>
    </row>
    <row r="913" spans="8:16" ht="14.5" x14ac:dyDescent="0.35">
      <c r="H913" s="129"/>
      <c r="I913" s="129"/>
      <c r="J913" s="130"/>
      <c r="K913" s="131"/>
      <c r="N913" s="134"/>
      <c r="O913" s="135"/>
      <c r="P913" s="136"/>
    </row>
    <row r="914" spans="8:16" ht="14.5" x14ac:dyDescent="0.35">
      <c r="H914" s="129"/>
      <c r="I914" s="129"/>
      <c r="J914" s="130"/>
      <c r="K914" s="131"/>
      <c r="N914" s="134"/>
      <c r="O914" s="135"/>
      <c r="P914" s="136"/>
    </row>
    <row r="915" spans="8:16" ht="14.5" x14ac:dyDescent="0.35">
      <c r="H915" s="129"/>
      <c r="I915" s="129"/>
      <c r="J915" s="130"/>
      <c r="K915" s="131"/>
      <c r="N915" s="134"/>
      <c r="O915" s="135"/>
      <c r="P915" s="136"/>
    </row>
    <row r="916" spans="8:16" ht="14.5" x14ac:dyDescent="0.35">
      <c r="H916" s="129"/>
      <c r="I916" s="129"/>
      <c r="J916" s="130"/>
      <c r="K916" s="131"/>
      <c r="N916" s="134"/>
      <c r="O916" s="135"/>
      <c r="P916" s="136"/>
    </row>
    <row r="917" spans="8:16" ht="14.5" x14ac:dyDescent="0.35">
      <c r="H917" s="129"/>
      <c r="I917" s="129"/>
      <c r="J917" s="130"/>
      <c r="K917" s="131"/>
      <c r="N917" s="134"/>
      <c r="O917" s="135"/>
      <c r="P917" s="136"/>
    </row>
    <row r="918" spans="8:16" ht="14.5" x14ac:dyDescent="0.35">
      <c r="H918" s="129"/>
      <c r="I918" s="129"/>
      <c r="J918" s="130"/>
      <c r="K918" s="131"/>
      <c r="N918" s="134"/>
      <c r="O918" s="135"/>
      <c r="P918" s="136"/>
    </row>
    <row r="919" spans="8:16" ht="14.5" x14ac:dyDescent="0.35">
      <c r="H919" s="129"/>
      <c r="I919" s="129"/>
      <c r="J919" s="130"/>
      <c r="K919" s="131"/>
      <c r="N919" s="134"/>
      <c r="O919" s="135"/>
      <c r="P919" s="136"/>
    </row>
    <row r="920" spans="8:16" ht="14.5" x14ac:dyDescent="0.35">
      <c r="H920" s="129"/>
      <c r="I920" s="129"/>
      <c r="J920" s="130"/>
      <c r="K920" s="131"/>
      <c r="N920" s="134"/>
      <c r="O920" s="135"/>
      <c r="P920" s="136"/>
    </row>
    <row r="921" spans="8:16" ht="14.5" x14ac:dyDescent="0.35">
      <c r="H921" s="129"/>
      <c r="I921" s="129"/>
      <c r="J921" s="130"/>
      <c r="K921" s="131"/>
      <c r="N921" s="134"/>
      <c r="O921" s="135"/>
      <c r="P921" s="136"/>
    </row>
    <row r="922" spans="8:16" ht="14.5" x14ac:dyDescent="0.35">
      <c r="H922" s="129"/>
      <c r="I922" s="129"/>
      <c r="J922" s="130"/>
      <c r="K922" s="131"/>
      <c r="N922" s="134"/>
      <c r="O922" s="135"/>
      <c r="P922" s="136"/>
    </row>
    <row r="923" spans="8:16" ht="14.5" x14ac:dyDescent="0.35">
      <c r="H923" s="129"/>
      <c r="I923" s="129"/>
      <c r="J923" s="130"/>
      <c r="K923" s="131"/>
      <c r="N923" s="134"/>
      <c r="O923" s="135"/>
      <c r="P923" s="136"/>
    </row>
    <row r="924" spans="8:16" ht="14.5" x14ac:dyDescent="0.35">
      <c r="H924" s="129"/>
      <c r="I924" s="129"/>
      <c r="J924" s="130"/>
      <c r="K924" s="131"/>
      <c r="N924" s="134"/>
      <c r="O924" s="135"/>
      <c r="P924" s="136"/>
    </row>
    <row r="925" spans="8:16" ht="14.5" x14ac:dyDescent="0.35">
      <c r="H925" s="129"/>
      <c r="I925" s="129"/>
      <c r="J925" s="130"/>
      <c r="K925" s="131"/>
      <c r="N925" s="134"/>
      <c r="O925" s="135"/>
      <c r="P925" s="136"/>
    </row>
    <row r="926" spans="8:16" ht="14.5" x14ac:dyDescent="0.35">
      <c r="H926" s="129"/>
      <c r="I926" s="129"/>
      <c r="J926" s="130"/>
      <c r="K926" s="131"/>
      <c r="N926" s="134"/>
      <c r="O926" s="135"/>
      <c r="P926" s="136"/>
    </row>
    <row r="927" spans="8:16" ht="14.5" x14ac:dyDescent="0.35">
      <c r="H927" s="129"/>
      <c r="I927" s="129"/>
      <c r="J927" s="130"/>
      <c r="K927" s="131"/>
      <c r="N927" s="134"/>
      <c r="O927" s="135"/>
      <c r="P927" s="136"/>
    </row>
    <row r="928" spans="8:16" ht="14.5" x14ac:dyDescent="0.35">
      <c r="H928" s="129"/>
      <c r="I928" s="129"/>
      <c r="J928" s="130"/>
      <c r="K928" s="131"/>
      <c r="N928" s="134"/>
      <c r="O928" s="135"/>
      <c r="P928" s="136"/>
    </row>
    <row r="929" spans="8:16" ht="14.5" x14ac:dyDescent="0.35">
      <c r="H929" s="129"/>
      <c r="I929" s="129"/>
      <c r="J929" s="130"/>
      <c r="K929" s="131"/>
      <c r="N929" s="134"/>
      <c r="O929" s="135"/>
      <c r="P929" s="136"/>
    </row>
    <row r="930" spans="8:16" ht="14.5" x14ac:dyDescent="0.35">
      <c r="H930" s="129"/>
      <c r="I930" s="129"/>
      <c r="J930" s="130"/>
      <c r="K930" s="131"/>
      <c r="N930" s="134"/>
      <c r="O930" s="135"/>
      <c r="P930" s="136"/>
    </row>
    <row r="931" spans="8:16" ht="14.5" x14ac:dyDescent="0.35">
      <c r="H931" s="129"/>
      <c r="I931" s="129"/>
      <c r="J931" s="130"/>
      <c r="K931" s="131"/>
      <c r="N931" s="134"/>
      <c r="O931" s="135"/>
      <c r="P931" s="136"/>
    </row>
    <row r="932" spans="8:16" ht="14.5" x14ac:dyDescent="0.35">
      <c r="H932" s="129"/>
      <c r="I932" s="129"/>
      <c r="J932" s="130"/>
      <c r="K932" s="131"/>
      <c r="N932" s="134"/>
      <c r="O932" s="135"/>
      <c r="P932" s="136"/>
    </row>
    <row r="933" spans="8:16" ht="14.5" x14ac:dyDescent="0.35">
      <c r="H933" s="129"/>
      <c r="I933" s="129"/>
      <c r="J933" s="130"/>
      <c r="K933" s="131"/>
      <c r="N933" s="134"/>
      <c r="O933" s="135"/>
      <c r="P933" s="136"/>
    </row>
    <row r="934" spans="8:16" ht="14.5" x14ac:dyDescent="0.35">
      <c r="H934" s="129"/>
      <c r="I934" s="129"/>
      <c r="J934" s="130"/>
      <c r="K934" s="131"/>
      <c r="N934" s="134"/>
      <c r="O934" s="135"/>
      <c r="P934" s="136"/>
    </row>
    <row r="935" spans="8:16" ht="14.5" x14ac:dyDescent="0.35">
      <c r="H935" s="129"/>
      <c r="I935" s="129"/>
      <c r="J935" s="130"/>
      <c r="K935" s="131"/>
      <c r="N935" s="134"/>
      <c r="O935" s="135"/>
      <c r="P935" s="136"/>
    </row>
    <row r="936" spans="8:16" ht="14.5" x14ac:dyDescent="0.35">
      <c r="H936" s="129"/>
      <c r="I936" s="129"/>
      <c r="J936" s="130"/>
      <c r="K936" s="131"/>
      <c r="N936" s="134"/>
      <c r="O936" s="135"/>
      <c r="P936" s="136"/>
    </row>
    <row r="937" spans="8:16" ht="14.5" x14ac:dyDescent="0.35">
      <c r="H937" s="129"/>
      <c r="I937" s="129"/>
      <c r="J937" s="130"/>
      <c r="K937" s="131"/>
      <c r="N937" s="134"/>
      <c r="O937" s="135"/>
      <c r="P937" s="136"/>
    </row>
    <row r="938" spans="8:16" ht="14.5" x14ac:dyDescent="0.35">
      <c r="H938" s="129"/>
      <c r="I938" s="129"/>
      <c r="J938" s="130"/>
      <c r="K938" s="131"/>
      <c r="N938" s="134"/>
      <c r="O938" s="135"/>
      <c r="P938" s="136"/>
    </row>
    <row r="939" spans="8:16" ht="14.5" x14ac:dyDescent="0.35">
      <c r="H939" s="129"/>
      <c r="I939" s="129"/>
      <c r="J939" s="130"/>
      <c r="K939" s="131"/>
      <c r="N939" s="134"/>
      <c r="O939" s="135"/>
      <c r="P939" s="136"/>
    </row>
    <row r="940" spans="8:16" ht="14.5" x14ac:dyDescent="0.35">
      <c r="H940" s="129"/>
      <c r="I940" s="129"/>
      <c r="J940" s="130"/>
      <c r="K940" s="131"/>
      <c r="N940" s="134"/>
      <c r="O940" s="135"/>
      <c r="P940" s="136"/>
    </row>
    <row r="941" spans="8:16" ht="14.5" x14ac:dyDescent="0.35">
      <c r="H941" s="129"/>
      <c r="I941" s="129"/>
      <c r="J941" s="130"/>
      <c r="K941" s="131"/>
      <c r="N941" s="134"/>
      <c r="O941" s="135"/>
      <c r="P941" s="136"/>
    </row>
    <row r="942" spans="8:16" ht="14.5" x14ac:dyDescent="0.35">
      <c r="H942" s="129"/>
      <c r="I942" s="129"/>
      <c r="J942" s="130"/>
      <c r="K942" s="131"/>
      <c r="N942" s="134"/>
      <c r="O942" s="135"/>
      <c r="P942" s="136"/>
    </row>
    <row r="943" spans="8:16" ht="14.5" x14ac:dyDescent="0.35">
      <c r="H943" s="129"/>
      <c r="I943" s="129"/>
      <c r="J943" s="130"/>
      <c r="K943" s="131"/>
      <c r="N943" s="134"/>
      <c r="O943" s="135"/>
      <c r="P943" s="136"/>
    </row>
    <row r="944" spans="8:16" ht="14.5" x14ac:dyDescent="0.35">
      <c r="H944" s="129"/>
      <c r="I944" s="129"/>
      <c r="J944" s="130"/>
      <c r="K944" s="131"/>
      <c r="N944" s="134"/>
      <c r="O944" s="135"/>
      <c r="P944" s="136"/>
    </row>
    <row r="945" spans="8:16" ht="14.5" x14ac:dyDescent="0.35">
      <c r="H945" s="129"/>
      <c r="I945" s="129"/>
      <c r="J945" s="130"/>
      <c r="K945" s="131"/>
      <c r="N945" s="134"/>
      <c r="O945" s="135"/>
      <c r="P945" s="136"/>
    </row>
    <row r="946" spans="8:16" ht="14.5" x14ac:dyDescent="0.35">
      <c r="H946" s="129"/>
      <c r="I946" s="129"/>
      <c r="J946" s="130"/>
      <c r="K946" s="131"/>
      <c r="N946" s="134"/>
      <c r="O946" s="135"/>
      <c r="P946" s="136"/>
    </row>
    <row r="947" spans="8:16" ht="14.5" x14ac:dyDescent="0.35">
      <c r="H947" s="129"/>
      <c r="I947" s="129"/>
      <c r="J947" s="130"/>
      <c r="K947" s="131"/>
      <c r="N947" s="134"/>
      <c r="O947" s="135"/>
      <c r="P947" s="136"/>
    </row>
    <row r="948" spans="8:16" ht="14.5" x14ac:dyDescent="0.35">
      <c r="H948" s="129"/>
      <c r="I948" s="129"/>
      <c r="J948" s="130"/>
      <c r="K948" s="131"/>
      <c r="N948" s="134"/>
      <c r="O948" s="135"/>
      <c r="P948" s="136"/>
    </row>
    <row r="949" spans="8:16" ht="14.5" x14ac:dyDescent="0.35">
      <c r="H949" s="129"/>
      <c r="I949" s="129"/>
      <c r="J949" s="130"/>
      <c r="K949" s="131"/>
      <c r="N949" s="134"/>
      <c r="O949" s="135"/>
      <c r="P949" s="136"/>
    </row>
    <row r="950" spans="8:16" ht="14.5" x14ac:dyDescent="0.35">
      <c r="H950" s="129"/>
      <c r="I950" s="129"/>
      <c r="J950" s="130"/>
      <c r="K950" s="131"/>
      <c r="N950" s="134"/>
      <c r="O950" s="135"/>
      <c r="P950" s="136"/>
    </row>
    <row r="951" spans="8:16" ht="14.5" x14ac:dyDescent="0.35">
      <c r="H951" s="129"/>
      <c r="I951" s="129"/>
      <c r="J951" s="130"/>
      <c r="K951" s="131"/>
      <c r="N951" s="134"/>
      <c r="O951" s="135"/>
      <c r="P951" s="136"/>
    </row>
    <row r="952" spans="8:16" ht="14.5" x14ac:dyDescent="0.35">
      <c r="H952" s="129"/>
      <c r="I952" s="129"/>
      <c r="J952" s="130"/>
      <c r="K952" s="131"/>
      <c r="N952" s="134"/>
      <c r="O952" s="135"/>
      <c r="P952" s="136"/>
    </row>
    <row r="953" spans="8:16" ht="14.5" x14ac:dyDescent="0.35">
      <c r="H953" s="129"/>
      <c r="I953" s="129"/>
      <c r="J953" s="130"/>
      <c r="K953" s="131"/>
      <c r="N953" s="134"/>
      <c r="O953" s="135"/>
      <c r="P953" s="136"/>
    </row>
    <row r="954" spans="8:16" ht="14.5" x14ac:dyDescent="0.35">
      <c r="H954" s="129"/>
      <c r="I954" s="129"/>
      <c r="J954" s="130"/>
      <c r="K954" s="131"/>
      <c r="N954" s="134"/>
      <c r="O954" s="135"/>
      <c r="P954" s="136"/>
    </row>
    <row r="955" spans="8:16" ht="14.5" x14ac:dyDescent="0.35">
      <c r="H955" s="129"/>
      <c r="I955" s="129"/>
      <c r="J955" s="130"/>
      <c r="K955" s="131"/>
      <c r="N955" s="134"/>
      <c r="O955" s="135"/>
      <c r="P955" s="136"/>
    </row>
    <row r="956" spans="8:16" ht="14.5" x14ac:dyDescent="0.35">
      <c r="H956" s="129"/>
      <c r="I956" s="129"/>
      <c r="J956" s="130"/>
      <c r="K956" s="131"/>
      <c r="N956" s="134"/>
      <c r="O956" s="135"/>
      <c r="P956" s="136"/>
    </row>
    <row r="957" spans="8:16" ht="14.5" x14ac:dyDescent="0.35">
      <c r="H957" s="129"/>
      <c r="I957" s="129"/>
      <c r="J957" s="130"/>
      <c r="K957" s="131"/>
      <c r="N957" s="134"/>
      <c r="O957" s="135"/>
      <c r="P957" s="136"/>
    </row>
    <row r="958" spans="8:16" ht="14.5" x14ac:dyDescent="0.35">
      <c r="H958" s="129"/>
      <c r="I958" s="129"/>
      <c r="J958" s="130"/>
      <c r="K958" s="131"/>
      <c r="N958" s="134"/>
      <c r="O958" s="135"/>
      <c r="P958" s="136"/>
    </row>
    <row r="959" spans="8:16" ht="14.5" x14ac:dyDescent="0.35">
      <c r="H959" s="129"/>
      <c r="I959" s="129"/>
      <c r="J959" s="130"/>
      <c r="K959" s="131"/>
      <c r="N959" s="134"/>
      <c r="O959" s="135"/>
      <c r="P959" s="136"/>
    </row>
    <row r="960" spans="8:16" ht="14.5" x14ac:dyDescent="0.35">
      <c r="H960" s="129"/>
      <c r="I960" s="129"/>
      <c r="J960" s="130"/>
      <c r="K960" s="131"/>
      <c r="N960" s="134"/>
      <c r="O960" s="135"/>
      <c r="P960" s="136"/>
    </row>
    <row r="961" spans="8:16" ht="14.5" x14ac:dyDescent="0.35">
      <c r="H961" s="129"/>
      <c r="I961" s="129"/>
      <c r="J961" s="130"/>
      <c r="K961" s="131"/>
      <c r="N961" s="134"/>
      <c r="O961" s="135"/>
      <c r="P961" s="136"/>
    </row>
    <row r="962" spans="8:16" ht="14.5" x14ac:dyDescent="0.35">
      <c r="H962" s="129"/>
      <c r="I962" s="129"/>
      <c r="J962" s="130"/>
      <c r="K962" s="131"/>
      <c r="N962" s="134"/>
      <c r="O962" s="135"/>
      <c r="P962" s="136"/>
    </row>
    <row r="963" spans="8:16" ht="14.5" x14ac:dyDescent="0.35">
      <c r="H963" s="129"/>
      <c r="I963" s="129"/>
      <c r="J963" s="130"/>
      <c r="K963" s="131"/>
      <c r="N963" s="134"/>
      <c r="O963" s="135"/>
      <c r="P963" s="136"/>
    </row>
    <row r="964" spans="8:16" ht="14.5" x14ac:dyDescent="0.35">
      <c r="H964" s="129"/>
      <c r="I964" s="129"/>
      <c r="J964" s="130"/>
      <c r="K964" s="131"/>
      <c r="N964" s="134"/>
      <c r="O964" s="135"/>
      <c r="P964" s="136"/>
    </row>
    <row r="965" spans="8:16" ht="14.5" x14ac:dyDescent="0.35">
      <c r="H965" s="129"/>
      <c r="I965" s="129"/>
      <c r="J965" s="130"/>
      <c r="K965" s="131"/>
      <c r="N965" s="134"/>
      <c r="O965" s="135"/>
      <c r="P965" s="136"/>
    </row>
    <row r="966" spans="8:16" ht="14.5" x14ac:dyDescent="0.35">
      <c r="H966" s="129"/>
      <c r="I966" s="129"/>
      <c r="J966" s="130"/>
      <c r="K966" s="131"/>
      <c r="N966" s="134"/>
      <c r="O966" s="135"/>
      <c r="P966" s="136"/>
    </row>
    <row r="967" spans="8:16" ht="14.5" x14ac:dyDescent="0.35">
      <c r="H967" s="129"/>
      <c r="I967" s="129"/>
      <c r="J967" s="130"/>
      <c r="K967" s="131"/>
      <c r="N967" s="134"/>
      <c r="O967" s="135"/>
      <c r="P967" s="136"/>
    </row>
    <row r="968" spans="8:16" ht="14.5" x14ac:dyDescent="0.35">
      <c r="H968" s="129"/>
      <c r="I968" s="129"/>
      <c r="J968" s="130"/>
      <c r="K968" s="131"/>
      <c r="N968" s="134"/>
      <c r="O968" s="135"/>
      <c r="P968" s="136"/>
    </row>
    <row r="969" spans="8:16" ht="14.5" x14ac:dyDescent="0.35">
      <c r="H969" s="129"/>
      <c r="I969" s="129"/>
      <c r="J969" s="130"/>
      <c r="K969" s="131"/>
      <c r="N969" s="134"/>
      <c r="O969" s="135"/>
      <c r="P969" s="136"/>
    </row>
    <row r="970" spans="8:16" ht="14.5" x14ac:dyDescent="0.35">
      <c r="H970" s="129"/>
      <c r="I970" s="129"/>
      <c r="J970" s="130"/>
      <c r="K970" s="131"/>
      <c r="N970" s="134"/>
      <c r="O970" s="135"/>
      <c r="P970" s="136"/>
    </row>
    <row r="971" spans="8:16" ht="14.5" x14ac:dyDescent="0.35">
      <c r="H971" s="129"/>
      <c r="I971" s="129"/>
      <c r="J971" s="130"/>
      <c r="K971" s="131"/>
      <c r="N971" s="134"/>
      <c r="O971" s="135"/>
      <c r="P971" s="136"/>
    </row>
    <row r="972" spans="8:16" ht="14.5" x14ac:dyDescent="0.35">
      <c r="H972" s="129"/>
      <c r="I972" s="129"/>
      <c r="J972" s="130"/>
      <c r="K972" s="131"/>
      <c r="N972" s="134"/>
      <c r="O972" s="135"/>
      <c r="P972" s="136"/>
    </row>
    <row r="973" spans="8:16" ht="14.5" x14ac:dyDescent="0.35">
      <c r="H973" s="129"/>
      <c r="I973" s="129"/>
      <c r="J973" s="130"/>
      <c r="K973" s="131"/>
      <c r="N973" s="134"/>
      <c r="O973" s="135"/>
      <c r="P973" s="136"/>
    </row>
    <row r="974" spans="8:16" ht="14.5" x14ac:dyDescent="0.35">
      <c r="H974" s="129"/>
      <c r="I974" s="129"/>
      <c r="J974" s="130"/>
      <c r="K974" s="131"/>
      <c r="N974" s="134"/>
      <c r="O974" s="135"/>
      <c r="P974" s="136"/>
    </row>
    <row r="975" spans="8:16" ht="14.5" x14ac:dyDescent="0.35">
      <c r="H975" s="129"/>
      <c r="I975" s="129"/>
      <c r="J975" s="130"/>
      <c r="K975" s="131"/>
      <c r="N975" s="134"/>
      <c r="O975" s="135"/>
      <c r="P975" s="136"/>
    </row>
    <row r="976" spans="8:16" ht="14.5" x14ac:dyDescent="0.35">
      <c r="H976" s="129"/>
      <c r="I976" s="129"/>
      <c r="J976" s="130"/>
      <c r="K976" s="131"/>
      <c r="N976" s="134"/>
      <c r="O976" s="135"/>
      <c r="P976" s="136"/>
    </row>
    <row r="977" spans="8:16" ht="14.5" x14ac:dyDescent="0.35">
      <c r="H977" s="129"/>
      <c r="I977" s="129"/>
      <c r="J977" s="130"/>
      <c r="K977" s="131"/>
      <c r="N977" s="134"/>
      <c r="O977" s="135"/>
      <c r="P977" s="136"/>
    </row>
    <row r="978" spans="8:16" ht="14.5" x14ac:dyDescent="0.35">
      <c r="H978" s="129"/>
      <c r="I978" s="129"/>
      <c r="J978" s="130"/>
      <c r="K978" s="131"/>
      <c r="N978" s="134"/>
      <c r="O978" s="135"/>
      <c r="P978" s="136"/>
    </row>
    <row r="979" spans="8:16" ht="14.5" x14ac:dyDescent="0.35">
      <c r="H979" s="129"/>
      <c r="I979" s="129"/>
      <c r="J979" s="130"/>
      <c r="K979" s="131"/>
      <c r="N979" s="134"/>
      <c r="O979" s="135"/>
      <c r="P979" s="136"/>
    </row>
    <row r="980" spans="8:16" ht="14.5" x14ac:dyDescent="0.35">
      <c r="H980" s="129"/>
      <c r="I980" s="129"/>
      <c r="J980" s="130"/>
      <c r="K980" s="131"/>
      <c r="N980" s="134"/>
      <c r="O980" s="135"/>
      <c r="P980" s="136"/>
    </row>
    <row r="981" spans="8:16" ht="14.5" x14ac:dyDescent="0.35">
      <c r="H981" s="129"/>
      <c r="I981" s="129"/>
      <c r="J981" s="130"/>
      <c r="K981" s="131"/>
      <c r="N981" s="134"/>
      <c r="O981" s="135"/>
      <c r="P981" s="136"/>
    </row>
    <row r="982" spans="8:16" ht="14.5" x14ac:dyDescent="0.35">
      <c r="H982" s="129"/>
      <c r="I982" s="129"/>
      <c r="J982" s="130"/>
      <c r="K982" s="131"/>
      <c r="N982" s="134"/>
      <c r="O982" s="135"/>
      <c r="P982" s="136"/>
    </row>
    <row r="983" spans="8:16" ht="14.5" x14ac:dyDescent="0.35">
      <c r="H983" s="129"/>
      <c r="I983" s="129"/>
      <c r="J983" s="130"/>
      <c r="K983" s="131"/>
      <c r="N983" s="134"/>
      <c r="O983" s="135"/>
      <c r="P983" s="136"/>
    </row>
    <row r="984" spans="8:16" ht="14.5" x14ac:dyDescent="0.35">
      <c r="H984" s="129"/>
      <c r="I984" s="129"/>
      <c r="J984" s="130"/>
      <c r="K984" s="131"/>
      <c r="N984" s="134"/>
      <c r="O984" s="135"/>
      <c r="P984" s="136"/>
    </row>
    <row r="985" spans="8:16" ht="14.5" x14ac:dyDescent="0.35">
      <c r="H985" s="129"/>
      <c r="I985" s="129"/>
      <c r="J985" s="130"/>
      <c r="K985" s="131"/>
      <c r="N985" s="134"/>
      <c r="O985" s="135"/>
      <c r="P985" s="136"/>
    </row>
    <row r="986" spans="8:16" ht="14.5" x14ac:dyDescent="0.35">
      <c r="H986" s="129"/>
      <c r="I986" s="129"/>
      <c r="J986" s="130"/>
      <c r="K986" s="131"/>
      <c r="N986" s="134"/>
      <c r="O986" s="135"/>
      <c r="P986" s="136"/>
    </row>
    <row r="987" spans="8:16" ht="14.5" x14ac:dyDescent="0.35">
      <c r="H987" s="129"/>
      <c r="I987" s="129"/>
      <c r="J987" s="130"/>
      <c r="K987" s="131"/>
      <c r="N987" s="134"/>
      <c r="O987" s="135"/>
      <c r="P987" s="136"/>
    </row>
    <row r="988" spans="8:16" ht="14.5" x14ac:dyDescent="0.35">
      <c r="H988" s="129"/>
      <c r="I988" s="129"/>
      <c r="J988" s="130"/>
      <c r="K988" s="131"/>
      <c r="N988" s="134"/>
      <c r="O988" s="135"/>
      <c r="P988" s="136"/>
    </row>
    <row r="989" spans="8:16" ht="14.5" x14ac:dyDescent="0.35">
      <c r="H989" s="129"/>
      <c r="I989" s="129"/>
      <c r="J989" s="130"/>
      <c r="K989" s="131"/>
      <c r="N989" s="134"/>
      <c r="O989" s="135"/>
      <c r="P989" s="136"/>
    </row>
    <row r="990" spans="8:16" ht="14.5" x14ac:dyDescent="0.35">
      <c r="H990" s="129"/>
      <c r="I990" s="129"/>
      <c r="J990" s="130"/>
      <c r="K990" s="131"/>
      <c r="N990" s="134"/>
      <c r="O990" s="135"/>
      <c r="P990" s="136"/>
    </row>
  </sheetData>
  <mergeCells count="29">
    <mergeCell ref="R2:V2"/>
    <mergeCell ref="M71:M72"/>
    <mergeCell ref="N71:N72"/>
    <mergeCell ref="O71:O72"/>
    <mergeCell ref="H57:H58"/>
    <mergeCell ref="H59:H60"/>
    <mergeCell ref="K57:K58"/>
    <mergeCell ref="K59:K60"/>
    <mergeCell ref="P71:P72"/>
    <mergeCell ref="J71:J72"/>
    <mergeCell ref="K71:K72"/>
    <mergeCell ref="I74:I76"/>
    <mergeCell ref="L87:O87"/>
    <mergeCell ref="L88:O88"/>
    <mergeCell ref="A90:A91"/>
    <mergeCell ref="B90:B91"/>
    <mergeCell ref="C90:C91"/>
    <mergeCell ref="D90:D91"/>
    <mergeCell ref="E74:E76"/>
    <mergeCell ref="F74:F76"/>
    <mergeCell ref="E79:E80"/>
    <mergeCell ref="F79:F80"/>
    <mergeCell ref="E82:E83"/>
    <mergeCell ref="F82:F83"/>
    <mergeCell ref="E92:E93"/>
    <mergeCell ref="F92:F93"/>
    <mergeCell ref="G92:G93"/>
    <mergeCell ref="G74:G76"/>
    <mergeCell ref="H74:H76"/>
  </mergeCells>
  <pageMargins left="0.7" right="0.7" top="0.75" bottom="0.75" header="0.3" footer="0.3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2682E-7CCD-469A-BB0C-3C5E58767091}">
  <sheetPr>
    <outlinePr summaryBelow="0" summaryRight="0"/>
  </sheetPr>
  <dimension ref="A1:AT884"/>
  <sheetViews>
    <sheetView zoomScaleNormal="100" workbookViewId="0">
      <pane xSplit="5" ySplit="3" topLeftCell="F4" activePane="bottomRight" state="frozen"/>
      <selection pane="topRight" activeCell="F1" sqref="F1"/>
      <selection pane="bottomLeft" activeCell="A3" sqref="A3"/>
      <selection pane="bottomRight" activeCell="A2" sqref="A2"/>
    </sheetView>
  </sheetViews>
  <sheetFormatPr defaultColWidth="12.7265625" defaultRowHeight="15.75" customHeight="1" x14ac:dyDescent="0.35"/>
  <cols>
    <col min="1" max="1" width="12.26953125" style="292" customWidth="1"/>
    <col min="2" max="2" width="5.1796875" style="298" customWidth="1"/>
    <col min="3" max="3" width="15.26953125" style="298" customWidth="1"/>
    <col min="4" max="4" width="12.81640625" style="279" customWidth="1"/>
    <col min="5" max="5" width="17.1796875" style="356" customWidth="1"/>
    <col min="6" max="6" width="11" style="346" customWidth="1"/>
    <col min="7" max="7" width="12.7265625" style="346" customWidth="1"/>
    <col min="8" max="8" width="10.54296875" style="367" customWidth="1"/>
    <col min="9" max="9" width="9.453125" style="286" customWidth="1"/>
    <col min="10" max="10" width="14.453125" style="346" customWidth="1"/>
    <col min="11" max="11" width="14.453125" style="283" customWidth="1"/>
    <col min="12" max="12" width="8.1796875" style="289" customWidth="1"/>
    <col min="13" max="13" width="18.1796875" style="291" customWidth="1"/>
    <col min="14" max="14" width="18.26953125" style="357" customWidth="1"/>
    <col min="15" max="15" width="19.54296875" style="357" customWidth="1"/>
    <col min="16" max="16" width="15" style="346" customWidth="1"/>
    <col min="17" max="17" width="12.7265625" style="291"/>
    <col min="18" max="18" width="12.7265625" style="358"/>
    <col min="19" max="19" width="12.7265625" style="284"/>
    <col min="20" max="22" width="12.7265625" style="298" customWidth="1"/>
    <col min="23" max="23" width="12.7265625" style="285"/>
    <col min="24" max="24" width="12.7265625" style="279" customWidth="1"/>
    <col min="25" max="25" width="12.7265625" style="346" customWidth="1"/>
    <col min="26" max="26" width="12.7265625" style="285"/>
    <col min="27" max="27" width="17.7265625" style="298" customWidth="1"/>
    <col min="28" max="28" width="14" style="298" customWidth="1"/>
    <col min="29" max="16384" width="12.7265625" style="298"/>
  </cols>
  <sheetData>
    <row r="1" spans="1:46" ht="15.75" customHeight="1" x14ac:dyDescent="0.6">
      <c r="A1" s="19" t="s">
        <v>882</v>
      </c>
    </row>
    <row r="2" spans="1:46" ht="14.5" x14ac:dyDescent="0.35">
      <c r="B2" s="293"/>
      <c r="C2" s="293"/>
      <c r="D2" s="126"/>
      <c r="E2" s="294"/>
      <c r="F2" s="295"/>
      <c r="G2" s="295"/>
      <c r="H2" s="369"/>
      <c r="I2" s="129"/>
      <c r="J2" s="295"/>
      <c r="K2" s="133"/>
      <c r="L2" s="134"/>
      <c r="M2" s="136"/>
      <c r="N2" s="296"/>
      <c r="O2" s="296"/>
      <c r="P2" s="295"/>
      <c r="Q2" s="136"/>
      <c r="R2" s="297"/>
      <c r="S2" s="137"/>
      <c r="W2" s="298"/>
      <c r="Z2" s="428" t="s">
        <v>883</v>
      </c>
      <c r="AA2" s="428"/>
      <c r="AB2" s="428"/>
      <c r="AC2" s="429" t="s">
        <v>884</v>
      </c>
      <c r="AD2" s="429"/>
      <c r="AE2" s="429"/>
    </row>
    <row r="3" spans="1:46" s="315" customFormat="1" ht="44.25" customHeight="1" x14ac:dyDescent="0.35">
      <c r="A3" s="299" t="s">
        <v>796</v>
      </c>
      <c r="B3" s="300" t="s">
        <v>200</v>
      </c>
      <c r="C3" s="300" t="s">
        <v>797</v>
      </c>
      <c r="D3" s="301" t="s">
        <v>798</v>
      </c>
      <c r="E3" s="302" t="s">
        <v>799</v>
      </c>
      <c r="F3" s="303" t="s">
        <v>800</v>
      </c>
      <c r="G3" s="303" t="s">
        <v>801</v>
      </c>
      <c r="H3" s="368" t="s">
        <v>885</v>
      </c>
      <c r="I3" s="304" t="s">
        <v>886</v>
      </c>
      <c r="J3" s="303" t="s">
        <v>806</v>
      </c>
      <c r="K3" s="305" t="s">
        <v>807</v>
      </c>
      <c r="L3" s="306" t="s">
        <v>808</v>
      </c>
      <c r="M3" s="307" t="s">
        <v>810</v>
      </c>
      <c r="N3" s="308" t="s">
        <v>887</v>
      </c>
      <c r="O3" s="308" t="s">
        <v>799</v>
      </c>
      <c r="P3" s="309" t="s">
        <v>807</v>
      </c>
      <c r="Q3" s="307" t="s">
        <v>888</v>
      </c>
      <c r="R3" s="310" t="s">
        <v>889</v>
      </c>
      <c r="S3" s="310" t="s">
        <v>890</v>
      </c>
      <c r="T3" s="311" t="s">
        <v>812</v>
      </c>
      <c r="U3" s="312" t="s">
        <v>891</v>
      </c>
      <c r="V3" s="311" t="s">
        <v>813</v>
      </c>
      <c r="W3" s="313" t="s">
        <v>892</v>
      </c>
      <c r="X3" s="314" t="s">
        <v>818</v>
      </c>
      <c r="Y3" s="370" t="s">
        <v>893</v>
      </c>
      <c r="Z3" s="311" t="s">
        <v>819</v>
      </c>
      <c r="AA3" s="300" t="s">
        <v>894</v>
      </c>
      <c r="AB3" s="359" t="s">
        <v>895</v>
      </c>
      <c r="AC3" s="300" t="s">
        <v>892</v>
      </c>
      <c r="AD3" s="300" t="s">
        <v>821</v>
      </c>
      <c r="AE3" s="300" t="s">
        <v>822</v>
      </c>
      <c r="AF3" s="362"/>
      <c r="AG3" s="362"/>
      <c r="AH3" s="362"/>
      <c r="AI3" s="362"/>
      <c r="AJ3" s="362"/>
      <c r="AK3" s="362"/>
      <c r="AL3" s="362"/>
      <c r="AM3" s="362"/>
      <c r="AN3" s="362"/>
      <c r="AO3" s="362"/>
      <c r="AP3" s="362"/>
      <c r="AQ3" s="362"/>
      <c r="AR3" s="362"/>
      <c r="AS3" s="362"/>
      <c r="AT3" s="362"/>
    </row>
    <row r="4" spans="1:46" s="326" customFormat="1" ht="14.5" x14ac:dyDescent="0.35">
      <c r="A4" s="316">
        <v>45880</v>
      </c>
      <c r="B4" s="317">
        <v>39</v>
      </c>
      <c r="C4" s="317" t="s">
        <v>450</v>
      </c>
      <c r="D4" s="318">
        <v>14756</v>
      </c>
      <c r="E4" s="319" t="s">
        <v>451</v>
      </c>
      <c r="F4" s="320" t="s">
        <v>452</v>
      </c>
      <c r="G4" s="320">
        <v>9120</v>
      </c>
      <c r="H4" s="364">
        <v>9120</v>
      </c>
      <c r="I4" s="192">
        <f>G4/D4</f>
        <v>0.6180536730821361</v>
      </c>
      <c r="J4" s="320" t="s">
        <v>896</v>
      </c>
      <c r="K4" s="321">
        <f>[1]PRENSAS!E2</f>
        <v>1124</v>
      </c>
      <c r="L4" s="322">
        <f>K4/D4</f>
        <v>7.6172404445649225E-2</v>
      </c>
      <c r="M4" s="200"/>
      <c r="N4" s="323" t="s">
        <v>565</v>
      </c>
      <c r="O4" s="319" t="s">
        <v>451</v>
      </c>
      <c r="P4" s="320">
        <v>7824</v>
      </c>
      <c r="Q4" s="200">
        <f>P4/D4</f>
        <v>0.53022499322309569</v>
      </c>
      <c r="R4" s="324">
        <v>1296</v>
      </c>
      <c r="S4" s="325">
        <f>R4/H4</f>
        <v>0.14210526315789473</v>
      </c>
      <c r="T4" s="326">
        <v>3.18</v>
      </c>
      <c r="U4" s="326">
        <v>3.28</v>
      </c>
      <c r="W4" s="204"/>
      <c r="X4" s="189">
        <v>7.95</v>
      </c>
      <c r="Y4" s="333">
        <v>7.05</v>
      </c>
      <c r="Z4" s="204"/>
      <c r="AA4" s="317"/>
      <c r="AB4" s="360"/>
      <c r="AC4" s="317"/>
      <c r="AD4" s="317"/>
      <c r="AE4" s="317"/>
      <c r="AF4" s="298"/>
      <c r="AG4" s="298"/>
      <c r="AH4" s="298"/>
      <c r="AI4" s="298"/>
      <c r="AJ4" s="298"/>
      <c r="AK4" s="298"/>
      <c r="AL4" s="298"/>
      <c r="AM4" s="298"/>
      <c r="AN4" s="298"/>
      <c r="AO4" s="298"/>
      <c r="AP4" s="298"/>
      <c r="AQ4" s="298"/>
      <c r="AR4" s="298"/>
      <c r="AS4" s="298"/>
      <c r="AT4" s="298"/>
    </row>
    <row r="5" spans="1:46" s="326" customFormat="1" ht="14.5" customHeight="1" x14ac:dyDescent="0.3">
      <c r="A5" s="316">
        <v>45881</v>
      </c>
      <c r="B5" s="317">
        <v>34</v>
      </c>
      <c r="C5" s="317" t="s">
        <v>450</v>
      </c>
      <c r="D5" s="318">
        <v>13126.5</v>
      </c>
      <c r="E5" s="444" t="s">
        <v>454</v>
      </c>
      <c r="F5" s="320" t="s">
        <v>452</v>
      </c>
      <c r="G5" s="320">
        <v>7874</v>
      </c>
      <c r="H5" s="430">
        <f>G6+G5</f>
        <v>10193</v>
      </c>
      <c r="I5" s="395">
        <f>H5/(D5+D6)</f>
        <v>0.60992101483963623</v>
      </c>
      <c r="J5" s="320" t="s">
        <v>896</v>
      </c>
      <c r="K5" s="433">
        <f>[1]PRENSAS!E3</f>
        <v>1536</v>
      </c>
      <c r="L5" s="422">
        <f>K5/(D5+D6)</f>
        <v>9.1910004786979416E-2</v>
      </c>
      <c r="M5" s="422">
        <f>L5+I5</f>
        <v>0.70183101962661565</v>
      </c>
      <c r="N5" s="435" t="s">
        <v>897</v>
      </c>
      <c r="O5" s="444" t="s">
        <v>454</v>
      </c>
      <c r="P5" s="438">
        <v>16737</v>
      </c>
      <c r="Q5" s="422">
        <f>D5/(H5+H7)</f>
        <v>0.64870274277242401</v>
      </c>
      <c r="R5" s="448">
        <f>(H7+H5)-P5</f>
        <v>3498</v>
      </c>
      <c r="S5" s="451">
        <f>R5/(H5+H7)</f>
        <v>0.17286879169755373</v>
      </c>
      <c r="T5" s="454">
        <v>3.25</v>
      </c>
      <c r="U5" s="454">
        <v>3.31</v>
      </c>
      <c r="V5" s="327"/>
      <c r="W5" s="204"/>
      <c r="X5" s="405">
        <v>7.05</v>
      </c>
      <c r="Y5" s="457">
        <v>6.9</v>
      </c>
      <c r="Z5" s="204"/>
      <c r="AB5" s="337"/>
      <c r="AF5" s="298"/>
      <c r="AG5" s="298"/>
      <c r="AH5" s="298"/>
      <c r="AI5" s="298"/>
      <c r="AJ5" s="298"/>
      <c r="AK5" s="298"/>
      <c r="AL5" s="298"/>
      <c r="AM5" s="298"/>
      <c r="AN5" s="298"/>
      <c r="AO5" s="298"/>
      <c r="AP5" s="298"/>
      <c r="AQ5" s="298"/>
      <c r="AR5" s="298"/>
      <c r="AS5" s="298"/>
      <c r="AT5" s="298"/>
    </row>
    <row r="6" spans="1:46" s="326" customFormat="1" ht="14.5" customHeight="1" x14ac:dyDescent="0.3">
      <c r="A6" s="316">
        <v>45882</v>
      </c>
      <c r="B6" s="317">
        <v>9</v>
      </c>
      <c r="C6" s="317" t="s">
        <v>450</v>
      </c>
      <c r="D6" s="318">
        <v>3585.5</v>
      </c>
      <c r="E6" s="446"/>
      <c r="F6" s="320" t="s">
        <v>898</v>
      </c>
      <c r="G6" s="320">
        <v>2319</v>
      </c>
      <c r="H6" s="431"/>
      <c r="I6" s="432"/>
      <c r="J6" s="320" t="s">
        <v>517</v>
      </c>
      <c r="K6" s="434"/>
      <c r="L6" s="423"/>
      <c r="M6" s="423"/>
      <c r="N6" s="436"/>
      <c r="O6" s="445"/>
      <c r="P6" s="439"/>
      <c r="Q6" s="447"/>
      <c r="R6" s="449"/>
      <c r="S6" s="452"/>
      <c r="T6" s="455"/>
      <c r="U6" s="456"/>
      <c r="V6" s="327"/>
      <c r="W6" s="204"/>
      <c r="X6" s="406"/>
      <c r="Y6" s="458"/>
      <c r="Z6" s="204"/>
      <c r="AB6" s="337"/>
      <c r="AF6" s="298"/>
      <c r="AG6" s="298"/>
      <c r="AH6" s="298"/>
      <c r="AI6" s="298"/>
      <c r="AJ6" s="298"/>
      <c r="AK6" s="298"/>
      <c r="AL6" s="298"/>
      <c r="AM6" s="298"/>
      <c r="AN6" s="298"/>
      <c r="AO6" s="298"/>
      <c r="AP6" s="298"/>
      <c r="AQ6" s="298"/>
      <c r="AR6" s="298"/>
      <c r="AS6" s="298"/>
      <c r="AT6" s="298"/>
    </row>
    <row r="7" spans="1:46" s="326" customFormat="1" ht="13" x14ac:dyDescent="0.3">
      <c r="A7" s="316">
        <v>45882</v>
      </c>
      <c r="B7" s="317">
        <v>31</v>
      </c>
      <c r="C7" s="317" t="s">
        <v>457</v>
      </c>
      <c r="D7" s="318">
        <v>12114.8</v>
      </c>
      <c r="E7" s="444" t="s">
        <v>458</v>
      </c>
      <c r="F7" s="330" t="s">
        <v>459</v>
      </c>
      <c r="G7" s="320">
        <v>7849</v>
      </c>
      <c r="H7" s="430">
        <v>10042</v>
      </c>
      <c r="I7" s="461">
        <f>H7/(D7+((D8+D9+D10)))</f>
        <v>0.62046636926460963</v>
      </c>
      <c r="J7" s="320" t="s">
        <v>517</v>
      </c>
      <c r="K7" s="321">
        <f>[1]PRENSAS!E4</f>
        <v>1577</v>
      </c>
      <c r="L7" s="422">
        <f>(K7+K8)/(SUM(D7:D10))</f>
        <v>0.1448290350085884</v>
      </c>
      <c r="M7" s="422">
        <f>L7+I7</f>
        <v>0.76529540427319809</v>
      </c>
      <c r="N7" s="436"/>
      <c r="O7" s="445"/>
      <c r="P7" s="439"/>
      <c r="Q7" s="447"/>
      <c r="R7" s="449"/>
      <c r="S7" s="452"/>
      <c r="T7" s="454">
        <v>3.37</v>
      </c>
      <c r="U7" s="456"/>
      <c r="V7" s="327"/>
      <c r="W7" s="204"/>
      <c r="X7" s="392">
        <v>6.6</v>
      </c>
      <c r="Y7" s="458"/>
      <c r="Z7" s="204"/>
      <c r="AB7" s="337"/>
      <c r="AF7" s="298"/>
      <c r="AG7" s="298"/>
      <c r="AH7" s="298"/>
      <c r="AI7" s="298"/>
      <c r="AJ7" s="298"/>
      <c r="AK7" s="298"/>
      <c r="AL7" s="298"/>
      <c r="AM7" s="298"/>
      <c r="AN7" s="298"/>
      <c r="AO7" s="298"/>
      <c r="AP7" s="298"/>
      <c r="AQ7" s="298"/>
      <c r="AR7" s="298"/>
      <c r="AS7" s="298"/>
      <c r="AT7" s="298"/>
    </row>
    <row r="8" spans="1:46" s="326" customFormat="1" ht="13" x14ac:dyDescent="0.3">
      <c r="A8" s="316">
        <v>45883</v>
      </c>
      <c r="B8" s="317">
        <v>2</v>
      </c>
      <c r="C8" s="317" t="s">
        <v>457</v>
      </c>
      <c r="D8" s="318">
        <v>781.6</v>
      </c>
      <c r="E8" s="445"/>
      <c r="F8" s="438" t="s">
        <v>899</v>
      </c>
      <c r="G8" s="438">
        <v>10042</v>
      </c>
      <c r="H8" s="460"/>
      <c r="I8" s="462"/>
      <c r="J8" s="320" t="s">
        <v>517</v>
      </c>
      <c r="K8" s="441">
        <f>[1]PRENSAS!E5</f>
        <v>767</v>
      </c>
      <c r="L8" s="447"/>
      <c r="M8" s="447"/>
      <c r="N8" s="436"/>
      <c r="O8" s="445"/>
      <c r="P8" s="439"/>
      <c r="Q8" s="447"/>
      <c r="R8" s="449"/>
      <c r="S8" s="452"/>
      <c r="T8" s="456"/>
      <c r="U8" s="456"/>
      <c r="W8" s="204"/>
      <c r="X8" s="394"/>
      <c r="Y8" s="458"/>
      <c r="Z8" s="204"/>
      <c r="AA8" s="327"/>
      <c r="AB8" s="361"/>
      <c r="AC8" s="327"/>
      <c r="AD8" s="327"/>
      <c r="AE8" s="327"/>
      <c r="AF8" s="298"/>
      <c r="AG8" s="298"/>
      <c r="AH8" s="298"/>
      <c r="AI8" s="298"/>
      <c r="AJ8" s="298"/>
      <c r="AK8" s="298"/>
      <c r="AL8" s="298"/>
      <c r="AM8" s="298"/>
      <c r="AN8" s="298"/>
      <c r="AO8" s="298"/>
      <c r="AP8" s="298"/>
      <c r="AQ8" s="298"/>
      <c r="AR8" s="298"/>
      <c r="AS8" s="298"/>
      <c r="AT8" s="298"/>
    </row>
    <row r="9" spans="1:46" s="326" customFormat="1" ht="13" x14ac:dyDescent="0.3">
      <c r="A9" s="316">
        <v>45883</v>
      </c>
      <c r="B9" s="317">
        <v>1</v>
      </c>
      <c r="C9" s="317" t="s">
        <v>461</v>
      </c>
      <c r="D9" s="318">
        <v>383.2</v>
      </c>
      <c r="E9" s="445"/>
      <c r="F9" s="439"/>
      <c r="G9" s="439"/>
      <c r="H9" s="460"/>
      <c r="I9" s="462"/>
      <c r="J9" s="320" t="s">
        <v>517</v>
      </c>
      <c r="K9" s="442"/>
      <c r="L9" s="447"/>
      <c r="M9" s="447"/>
      <c r="N9" s="436"/>
      <c r="O9" s="445"/>
      <c r="P9" s="439"/>
      <c r="Q9" s="447"/>
      <c r="R9" s="449"/>
      <c r="S9" s="452"/>
      <c r="T9" s="456"/>
      <c r="U9" s="456"/>
      <c r="W9" s="204"/>
      <c r="X9" s="394"/>
      <c r="Y9" s="458"/>
      <c r="Z9" s="204"/>
      <c r="AA9" s="327"/>
      <c r="AB9" s="361"/>
      <c r="AC9" s="327"/>
      <c r="AD9" s="327"/>
      <c r="AE9" s="327"/>
      <c r="AF9" s="298"/>
      <c r="AG9" s="298"/>
      <c r="AH9" s="298"/>
      <c r="AI9" s="298"/>
      <c r="AJ9" s="298"/>
      <c r="AK9" s="298"/>
      <c r="AL9" s="298"/>
      <c r="AM9" s="298"/>
      <c r="AN9" s="298"/>
      <c r="AO9" s="298"/>
      <c r="AP9" s="298"/>
      <c r="AQ9" s="298"/>
      <c r="AR9" s="298"/>
      <c r="AS9" s="298"/>
      <c r="AT9" s="298"/>
    </row>
    <row r="10" spans="1:46" s="326" customFormat="1" ht="13" x14ac:dyDescent="0.3">
      <c r="A10" s="316">
        <v>45883</v>
      </c>
      <c r="B10" s="317">
        <v>9</v>
      </c>
      <c r="C10" s="317" t="s">
        <v>457</v>
      </c>
      <c r="D10" s="318">
        <v>2905</v>
      </c>
      <c r="E10" s="446"/>
      <c r="F10" s="440"/>
      <c r="G10" s="440"/>
      <c r="H10" s="431"/>
      <c r="I10" s="463"/>
      <c r="J10" s="320" t="s">
        <v>517</v>
      </c>
      <c r="K10" s="443"/>
      <c r="L10" s="423"/>
      <c r="M10" s="423"/>
      <c r="N10" s="437"/>
      <c r="O10" s="446"/>
      <c r="P10" s="440"/>
      <c r="Q10" s="423"/>
      <c r="R10" s="450"/>
      <c r="S10" s="453"/>
      <c r="T10" s="455"/>
      <c r="U10" s="455"/>
      <c r="V10" s="327"/>
      <c r="W10" s="204"/>
      <c r="X10" s="393"/>
      <c r="Y10" s="459"/>
      <c r="Z10" s="204"/>
      <c r="AA10" s="327"/>
      <c r="AB10" s="361"/>
      <c r="AC10" s="327"/>
      <c r="AD10" s="327"/>
      <c r="AE10" s="327"/>
      <c r="AF10" s="298"/>
      <c r="AG10" s="298"/>
      <c r="AH10" s="298"/>
      <c r="AI10" s="298"/>
      <c r="AJ10" s="298"/>
      <c r="AK10" s="298"/>
      <c r="AL10" s="298"/>
      <c r="AM10" s="298"/>
      <c r="AN10" s="298"/>
      <c r="AO10" s="298"/>
      <c r="AP10" s="298"/>
      <c r="AQ10" s="298"/>
      <c r="AR10" s="298"/>
      <c r="AS10" s="298"/>
      <c r="AT10" s="298"/>
    </row>
    <row r="11" spans="1:46" s="326" customFormat="1" ht="14.5" x14ac:dyDescent="0.35">
      <c r="A11" s="316">
        <v>45883</v>
      </c>
      <c r="B11" s="317">
        <v>40</v>
      </c>
      <c r="C11" s="317" t="s">
        <v>461</v>
      </c>
      <c r="D11" s="318">
        <v>15328</v>
      </c>
      <c r="E11" s="319" t="s">
        <v>463</v>
      </c>
      <c r="F11" s="320" t="s">
        <v>464</v>
      </c>
      <c r="G11" s="333">
        <v>9817</v>
      </c>
      <c r="H11" s="364">
        <v>9817</v>
      </c>
      <c r="I11" s="192">
        <f>H11/D11</f>
        <v>0.64046189979123169</v>
      </c>
      <c r="J11" s="320" t="s">
        <v>517</v>
      </c>
      <c r="K11" s="207">
        <f>[1]PRENSAS!E5</f>
        <v>767</v>
      </c>
      <c r="L11" s="322">
        <f>K11/D11</f>
        <v>5.0039144050104387E-2</v>
      </c>
      <c r="M11" s="200">
        <f>L11+I11</f>
        <v>0.69050104384133604</v>
      </c>
      <c r="N11" s="334" t="s">
        <v>452</v>
      </c>
      <c r="O11" s="319" t="s">
        <v>463</v>
      </c>
      <c r="P11" s="333">
        <v>8571</v>
      </c>
      <c r="Q11" s="200">
        <f>P11/D11</f>
        <v>0.55917275574112735</v>
      </c>
      <c r="R11" s="324">
        <f>G11-P11</f>
        <v>1246</v>
      </c>
      <c r="S11" s="335">
        <f>R11/D11</f>
        <v>8.1289144050104387E-2</v>
      </c>
      <c r="T11" s="327">
        <v>3.38</v>
      </c>
      <c r="U11" s="327">
        <v>3.37</v>
      </c>
      <c r="V11" s="327"/>
      <c r="W11" s="204">
        <f>((AA11+AB11+AD11+AE11)*1000)/H11</f>
        <v>0.43597840480798616</v>
      </c>
      <c r="X11" s="328">
        <v>5.85</v>
      </c>
      <c r="Y11" s="333">
        <v>5.7</v>
      </c>
      <c r="Z11" s="204"/>
      <c r="AA11" s="327">
        <v>3</v>
      </c>
      <c r="AB11" s="361">
        <v>1.28</v>
      </c>
      <c r="AC11" s="327"/>
      <c r="AD11" s="327"/>
      <c r="AE11" s="327"/>
      <c r="AF11" s="298"/>
      <c r="AG11" s="298"/>
      <c r="AH11" s="298"/>
      <c r="AI11" s="298"/>
      <c r="AJ11" s="298"/>
      <c r="AK11" s="298"/>
      <c r="AL11" s="298"/>
      <c r="AM11" s="298"/>
      <c r="AN11" s="298"/>
      <c r="AO11" s="298"/>
      <c r="AP11" s="298"/>
      <c r="AQ11" s="298"/>
      <c r="AR11" s="298"/>
      <c r="AS11" s="298"/>
      <c r="AT11" s="298"/>
    </row>
    <row r="12" spans="1:46" s="326" customFormat="1" ht="14.5" x14ac:dyDescent="0.35">
      <c r="A12" s="316">
        <v>45884</v>
      </c>
      <c r="B12" s="317">
        <v>283</v>
      </c>
      <c r="C12" s="317" t="s">
        <v>262</v>
      </c>
      <c r="D12" s="318">
        <v>5193.9799999999996</v>
      </c>
      <c r="E12" s="319" t="s">
        <v>466</v>
      </c>
      <c r="F12" s="320" t="s">
        <v>900</v>
      </c>
      <c r="G12" s="333">
        <v>3110</v>
      </c>
      <c r="H12" s="364">
        <f>G12</f>
        <v>3110</v>
      </c>
      <c r="I12" s="192">
        <f>H12/D12</f>
        <v>0.59877011463270946</v>
      </c>
      <c r="J12" s="333" t="s">
        <v>901</v>
      </c>
      <c r="K12" s="207">
        <f>[1]PRENSAS!E6</f>
        <v>267</v>
      </c>
      <c r="L12" s="322">
        <f>K12/D12</f>
        <v>5.1405665790010747E-2</v>
      </c>
      <c r="M12" s="200">
        <f>L12+I12</f>
        <v>0.65017578042272017</v>
      </c>
      <c r="N12" s="334" t="s">
        <v>902</v>
      </c>
      <c r="O12" s="319" t="s">
        <v>466</v>
      </c>
      <c r="P12" s="333">
        <v>2404</v>
      </c>
      <c r="Q12" s="200">
        <f>P12/D12</f>
        <v>0.46284352269357992</v>
      </c>
      <c r="R12" s="324">
        <v>706</v>
      </c>
      <c r="S12" s="232">
        <f>R12/D12</f>
        <v>0.13592659193912954</v>
      </c>
      <c r="T12" s="327">
        <v>3.61</v>
      </c>
      <c r="U12" s="327">
        <v>3.45</v>
      </c>
      <c r="V12" s="327"/>
      <c r="W12" s="204">
        <f>((AA12+AB12+AD12+AE12)*1000)/H12</f>
        <v>1.9292604501607717</v>
      </c>
      <c r="X12" s="328">
        <v>5.4</v>
      </c>
      <c r="Y12" s="333">
        <v>7.2</v>
      </c>
      <c r="Z12" s="204"/>
      <c r="AA12" s="327">
        <v>4.2</v>
      </c>
      <c r="AB12" s="361">
        <v>1.8</v>
      </c>
      <c r="AC12" s="327"/>
      <c r="AD12" s="327"/>
      <c r="AE12" s="327"/>
      <c r="AF12" s="298"/>
      <c r="AG12" s="298"/>
      <c r="AH12" s="298"/>
      <c r="AI12" s="298"/>
      <c r="AJ12" s="298"/>
      <c r="AK12" s="298"/>
      <c r="AL12" s="298"/>
      <c r="AM12" s="298"/>
      <c r="AN12" s="298"/>
      <c r="AO12" s="298"/>
      <c r="AP12" s="298"/>
      <c r="AQ12" s="298"/>
      <c r="AR12" s="298"/>
      <c r="AS12" s="298"/>
      <c r="AT12" s="298"/>
    </row>
    <row r="13" spans="1:46" s="326" customFormat="1" ht="14.5" x14ac:dyDescent="0.35">
      <c r="A13" s="316">
        <v>45884</v>
      </c>
      <c r="B13" s="317">
        <v>151</v>
      </c>
      <c r="C13" s="317" t="s">
        <v>903</v>
      </c>
      <c r="D13" s="318">
        <v>2654.06</v>
      </c>
      <c r="E13" s="319" t="s">
        <v>469</v>
      </c>
      <c r="F13" s="320" t="s">
        <v>904</v>
      </c>
      <c r="G13" s="320">
        <v>1009</v>
      </c>
      <c r="H13" s="364">
        <v>1180</v>
      </c>
      <c r="I13" s="192">
        <f>H13/D13</f>
        <v>0.44460185527079266</v>
      </c>
      <c r="J13" s="320" t="s">
        <v>505</v>
      </c>
      <c r="K13" s="207">
        <f>126</f>
        <v>126</v>
      </c>
      <c r="L13" s="322">
        <f>K13/D13</f>
        <v>4.7474435393321933E-2</v>
      </c>
      <c r="M13" s="200">
        <f>L13+I13</f>
        <v>0.49207629066411457</v>
      </c>
      <c r="N13" s="323" t="s">
        <v>905</v>
      </c>
      <c r="O13" s="319" t="s">
        <v>469</v>
      </c>
      <c r="P13" s="320">
        <v>1009</v>
      </c>
      <c r="Q13" s="200">
        <f>P13/D13</f>
        <v>0.3801722643798558</v>
      </c>
      <c r="R13" s="324">
        <v>150</v>
      </c>
      <c r="S13" s="335">
        <f>R13/D13</f>
        <v>5.6517184992049919E-2</v>
      </c>
      <c r="T13" s="327">
        <v>3.64</v>
      </c>
      <c r="U13" s="327">
        <v>3.4</v>
      </c>
      <c r="V13" s="327"/>
      <c r="W13" s="204">
        <f>((AA13+AB13+AD13+AE13)*1000)/H13</f>
        <v>1.6991525423728813</v>
      </c>
      <c r="X13" s="328">
        <v>5.25</v>
      </c>
      <c r="Y13" s="333">
        <v>7.5</v>
      </c>
      <c r="Z13" s="204"/>
      <c r="AA13" s="327">
        <v>1.4</v>
      </c>
      <c r="AB13" s="361">
        <v>0.60499999999999998</v>
      </c>
      <c r="AC13" s="327"/>
      <c r="AD13" s="327"/>
      <c r="AE13" s="327"/>
      <c r="AF13" s="298"/>
      <c r="AG13" s="298"/>
      <c r="AH13" s="298"/>
      <c r="AI13" s="298"/>
      <c r="AJ13" s="298"/>
      <c r="AK13" s="298"/>
      <c r="AL13" s="298"/>
      <c r="AM13" s="298"/>
      <c r="AN13" s="298"/>
      <c r="AO13" s="298"/>
      <c r="AP13" s="298"/>
      <c r="AQ13" s="298"/>
      <c r="AR13" s="298"/>
      <c r="AS13" s="298"/>
      <c r="AT13" s="298"/>
    </row>
    <row r="14" spans="1:46" s="326" customFormat="1" ht="14.5" customHeight="1" x14ac:dyDescent="0.3">
      <c r="A14" s="329">
        <v>45885</v>
      </c>
      <c r="B14" s="317">
        <v>29</v>
      </c>
      <c r="C14" s="317" t="s">
        <v>472</v>
      </c>
      <c r="D14" s="318">
        <v>11008</v>
      </c>
      <c r="E14" s="444" t="s">
        <v>474</v>
      </c>
      <c r="F14" s="438" t="s">
        <v>475</v>
      </c>
      <c r="G14" s="471">
        <v>10145</v>
      </c>
      <c r="H14" s="430">
        <v>10145</v>
      </c>
      <c r="I14" s="395">
        <f>H14/(D14+D15)</f>
        <v>0.62879633073013508</v>
      </c>
      <c r="J14" s="438" t="s">
        <v>505</v>
      </c>
      <c r="K14" s="410">
        <f>[1]PRENSAS!E9+[1]PRENSAS!E7</f>
        <v>1617</v>
      </c>
      <c r="L14" s="468">
        <f>K14/(D14+D15)</f>
        <v>0.10022313127556713</v>
      </c>
      <c r="M14" s="422">
        <f>L14+I14</f>
        <v>0.72901946200570222</v>
      </c>
      <c r="N14" s="470" t="s">
        <v>906</v>
      </c>
      <c r="O14" s="444" t="s">
        <v>474</v>
      </c>
      <c r="P14" s="471">
        <v>8821</v>
      </c>
      <c r="Q14" s="464">
        <f>P14/(D14+D15)</f>
        <v>0.54673360604933685</v>
      </c>
      <c r="R14" s="448">
        <v>1324</v>
      </c>
      <c r="S14" s="466">
        <f>R14/(D14+D15)</f>
        <v>8.206272468079831E-2</v>
      </c>
      <c r="T14" s="471">
        <v>3.4</v>
      </c>
      <c r="U14" s="471">
        <v>3.31</v>
      </c>
      <c r="V14" s="327"/>
      <c r="W14" s="510">
        <f>((AA14+AB14+AD14+AE14)*1000)/H14</f>
        <v>0.86249383932971913</v>
      </c>
      <c r="X14" s="405">
        <v>6.6</v>
      </c>
      <c r="Y14" s="471">
        <v>6.9</v>
      </c>
      <c r="Z14" s="204"/>
      <c r="AA14" s="327">
        <v>6.37</v>
      </c>
      <c r="AB14" s="361">
        <v>2.38</v>
      </c>
      <c r="AC14" s="327"/>
      <c r="AD14" s="327"/>
      <c r="AE14" s="327"/>
      <c r="AF14" s="298"/>
      <c r="AG14" s="298"/>
      <c r="AH14" s="298"/>
      <c r="AI14" s="298"/>
      <c r="AJ14" s="298"/>
      <c r="AK14" s="298"/>
      <c r="AL14" s="298"/>
      <c r="AM14" s="298"/>
      <c r="AN14" s="298"/>
      <c r="AO14" s="298"/>
      <c r="AP14" s="298"/>
      <c r="AQ14" s="298"/>
      <c r="AR14" s="298"/>
      <c r="AS14" s="298"/>
      <c r="AT14" s="298"/>
    </row>
    <row r="15" spans="1:46" s="326" customFormat="1" ht="14.5" customHeight="1" x14ac:dyDescent="0.3">
      <c r="A15" s="329">
        <v>45885</v>
      </c>
      <c r="B15" s="317">
        <v>13</v>
      </c>
      <c r="C15" s="317" t="s">
        <v>473</v>
      </c>
      <c r="D15" s="318">
        <v>5126</v>
      </c>
      <c r="E15" s="446"/>
      <c r="F15" s="440"/>
      <c r="G15" s="472"/>
      <c r="H15" s="431"/>
      <c r="I15" s="397"/>
      <c r="J15" s="440"/>
      <c r="K15" s="411"/>
      <c r="L15" s="469"/>
      <c r="M15" s="423"/>
      <c r="N15" s="437"/>
      <c r="O15" s="446"/>
      <c r="P15" s="472"/>
      <c r="Q15" s="465"/>
      <c r="R15" s="450"/>
      <c r="S15" s="467"/>
      <c r="T15" s="472"/>
      <c r="U15" s="472"/>
      <c r="V15" s="327"/>
      <c r="W15" s="511"/>
      <c r="X15" s="406"/>
      <c r="Y15" s="472"/>
      <c r="Z15" s="204"/>
      <c r="AA15" s="327"/>
      <c r="AB15" s="361"/>
      <c r="AC15" s="327"/>
      <c r="AD15" s="327"/>
      <c r="AE15" s="327"/>
      <c r="AF15" s="298"/>
      <c r="AG15" s="298"/>
      <c r="AH15" s="298"/>
      <c r="AI15" s="298"/>
      <c r="AJ15" s="298"/>
      <c r="AK15" s="298"/>
      <c r="AL15" s="298"/>
      <c r="AM15" s="298"/>
      <c r="AN15" s="298"/>
      <c r="AO15" s="298"/>
      <c r="AP15" s="298"/>
      <c r="AQ15" s="298"/>
      <c r="AR15" s="298"/>
      <c r="AS15" s="298"/>
      <c r="AT15" s="298"/>
    </row>
    <row r="16" spans="1:46" s="326" customFormat="1" ht="14.5" x14ac:dyDescent="0.35">
      <c r="A16" s="329">
        <v>45887</v>
      </c>
      <c r="B16" s="326">
        <v>21</v>
      </c>
      <c r="C16" s="326" t="s">
        <v>477</v>
      </c>
      <c r="D16" s="189">
        <v>8017</v>
      </c>
      <c r="E16" s="444" t="s">
        <v>479</v>
      </c>
      <c r="F16" s="438" t="s">
        <v>480</v>
      </c>
      <c r="G16" s="320">
        <v>5148</v>
      </c>
      <c r="H16" s="430">
        <v>9860</v>
      </c>
      <c r="I16" s="395">
        <f>H16/(D16+D17+D18)</f>
        <v>0.61897736903229861</v>
      </c>
      <c r="J16" s="438" t="s">
        <v>505</v>
      </c>
      <c r="K16" s="441">
        <v>768</v>
      </c>
      <c r="L16" s="422">
        <f>K16/(D16+D17+D18)</f>
        <v>4.8212436046329139E-2</v>
      </c>
      <c r="M16" s="422">
        <f>L16+I16</f>
        <v>0.6671898050786278</v>
      </c>
      <c r="N16" s="470" t="s">
        <v>907</v>
      </c>
      <c r="O16" s="470" t="s">
        <v>479</v>
      </c>
      <c r="P16" s="471">
        <v>7334</v>
      </c>
      <c r="Q16" s="422">
        <f>P19/(D16+D17+D18+D19+D20+D21)</f>
        <v>0.58497870008661379</v>
      </c>
      <c r="R16" s="481">
        <v>1187</v>
      </c>
      <c r="S16" s="412">
        <f>(R16)/(D16+D17+D18+D19+D20+D21)</f>
        <v>4.1963480812401678E-2</v>
      </c>
      <c r="T16" s="507">
        <v>3.37</v>
      </c>
      <c r="U16" s="327"/>
      <c r="V16" s="327"/>
      <c r="W16" s="510">
        <f>((AA16+AB16+AD16+AE16)*1000)/H16</f>
        <v>0.75456389452332651</v>
      </c>
      <c r="X16" s="405">
        <v>6.15</v>
      </c>
      <c r="Y16" s="333"/>
      <c r="Z16" s="204"/>
      <c r="AA16" s="327">
        <v>5.21</v>
      </c>
      <c r="AB16" s="361">
        <v>2.23</v>
      </c>
      <c r="AC16" s="327"/>
      <c r="AD16" s="327"/>
      <c r="AE16" s="327"/>
      <c r="AF16" s="298"/>
      <c r="AG16" s="298"/>
      <c r="AH16" s="298"/>
      <c r="AI16" s="298"/>
      <c r="AJ16" s="298"/>
      <c r="AK16" s="298"/>
      <c r="AL16" s="298"/>
      <c r="AM16" s="298"/>
      <c r="AN16" s="298"/>
      <c r="AO16" s="298"/>
      <c r="AP16" s="298"/>
      <c r="AQ16" s="298"/>
      <c r="AR16" s="298"/>
      <c r="AS16" s="298"/>
      <c r="AT16" s="298"/>
    </row>
    <row r="17" spans="1:46" s="326" customFormat="1" ht="14.5" x14ac:dyDescent="0.35">
      <c r="A17" s="329">
        <v>45887</v>
      </c>
      <c r="B17" s="326">
        <v>16</v>
      </c>
      <c r="C17" s="326" t="s">
        <v>473</v>
      </c>
      <c r="D17" s="189">
        <v>5997.5</v>
      </c>
      <c r="E17" s="445"/>
      <c r="F17" s="439"/>
      <c r="G17" s="438">
        <v>9860</v>
      </c>
      <c r="H17" s="460"/>
      <c r="I17" s="396"/>
      <c r="J17" s="439"/>
      <c r="K17" s="442"/>
      <c r="L17" s="447"/>
      <c r="M17" s="447"/>
      <c r="N17" s="436"/>
      <c r="O17" s="479"/>
      <c r="P17" s="477"/>
      <c r="Q17" s="447"/>
      <c r="R17" s="482"/>
      <c r="S17" s="475"/>
      <c r="T17" s="508"/>
      <c r="U17" s="327"/>
      <c r="V17" s="327"/>
      <c r="W17" s="521"/>
      <c r="X17" s="522"/>
      <c r="Y17" s="333"/>
      <c r="Z17" s="204"/>
      <c r="AA17" s="327"/>
      <c r="AB17" s="361"/>
      <c r="AC17" s="327"/>
      <c r="AD17" s="327"/>
      <c r="AE17" s="327"/>
      <c r="AF17" s="298"/>
      <c r="AG17" s="298"/>
      <c r="AH17" s="298"/>
      <c r="AI17" s="298"/>
      <c r="AJ17" s="298"/>
      <c r="AK17" s="298"/>
      <c r="AL17" s="298"/>
      <c r="AM17" s="298"/>
      <c r="AN17" s="298"/>
      <c r="AO17" s="298"/>
      <c r="AP17" s="298"/>
      <c r="AQ17" s="298"/>
      <c r="AR17" s="298"/>
      <c r="AS17" s="298"/>
      <c r="AT17" s="298"/>
    </row>
    <row r="18" spans="1:46" s="326" customFormat="1" ht="14.5" x14ac:dyDescent="0.35">
      <c r="A18" s="329">
        <v>45887</v>
      </c>
      <c r="B18" s="326">
        <v>5</v>
      </c>
      <c r="C18" s="326" t="s">
        <v>482</v>
      </c>
      <c r="D18" s="189">
        <v>1915</v>
      </c>
      <c r="E18" s="446"/>
      <c r="F18" s="440"/>
      <c r="G18" s="440"/>
      <c r="H18" s="431"/>
      <c r="I18" s="397"/>
      <c r="J18" s="440"/>
      <c r="K18" s="443"/>
      <c r="L18" s="423"/>
      <c r="M18" s="423"/>
      <c r="N18" s="436"/>
      <c r="O18" s="479"/>
      <c r="P18" s="472"/>
      <c r="Q18" s="447"/>
      <c r="R18" s="482"/>
      <c r="S18" s="475"/>
      <c r="T18" s="509"/>
      <c r="U18" s="327"/>
      <c r="V18" s="327"/>
      <c r="W18" s="511"/>
      <c r="X18" s="406"/>
      <c r="Y18" s="333"/>
      <c r="Z18" s="204"/>
      <c r="AA18" s="327"/>
      <c r="AB18" s="361"/>
      <c r="AC18" s="327"/>
      <c r="AD18" s="327"/>
      <c r="AE18" s="327"/>
      <c r="AF18" s="298"/>
      <c r="AG18" s="298"/>
      <c r="AH18" s="298"/>
      <c r="AI18" s="298"/>
      <c r="AJ18" s="298"/>
      <c r="AK18" s="298"/>
      <c r="AL18" s="298"/>
      <c r="AM18" s="298"/>
      <c r="AN18" s="298"/>
      <c r="AO18" s="298"/>
      <c r="AP18" s="298"/>
      <c r="AQ18" s="298"/>
      <c r="AR18" s="298"/>
      <c r="AS18" s="298"/>
      <c r="AT18" s="298"/>
    </row>
    <row r="19" spans="1:46" s="326" customFormat="1" ht="14.5" x14ac:dyDescent="0.35">
      <c r="A19" s="329">
        <v>45888</v>
      </c>
      <c r="B19" s="326">
        <v>30</v>
      </c>
      <c r="C19" s="326" t="s">
        <v>482</v>
      </c>
      <c r="D19" s="189">
        <v>11963.5</v>
      </c>
      <c r="E19" s="473" t="s">
        <v>485</v>
      </c>
      <c r="F19" s="471" t="s">
        <v>459</v>
      </c>
      <c r="G19" s="333">
        <v>4037</v>
      </c>
      <c r="H19" s="430">
        <v>7874</v>
      </c>
      <c r="I19" s="395">
        <f>H19/(D19+D20+D21)</f>
        <v>0.63720967872460954</v>
      </c>
      <c r="J19" s="471" t="s">
        <v>505</v>
      </c>
      <c r="K19" s="410">
        <f>[1]PRENSAS!E11</f>
        <v>922</v>
      </c>
      <c r="L19" s="422">
        <f>K19/(D19+D20+D21)</f>
        <v>7.4613579347738129E-2</v>
      </c>
      <c r="M19" s="422">
        <f>L19+I19</f>
        <v>0.7118232580723477</v>
      </c>
      <c r="N19" s="436"/>
      <c r="O19" s="479"/>
      <c r="P19" s="471">
        <v>16547</v>
      </c>
      <c r="Q19" s="447"/>
      <c r="R19" s="482"/>
      <c r="S19" s="475"/>
      <c r="T19" s="507">
        <v>3.45</v>
      </c>
      <c r="U19" s="471">
        <v>3.35</v>
      </c>
      <c r="V19" s="327"/>
      <c r="W19" s="510">
        <f>((AA19+AB19+AD19+AE19)*1000)/H19</f>
        <v>0.49911099822199639</v>
      </c>
      <c r="X19" s="405">
        <v>6.6</v>
      </c>
      <c r="Y19" s="471">
        <v>7.05</v>
      </c>
      <c r="Z19" s="204"/>
      <c r="AA19" s="327">
        <v>2.75</v>
      </c>
      <c r="AB19" s="361">
        <v>1.18</v>
      </c>
      <c r="AC19" s="327"/>
      <c r="AD19" s="327"/>
      <c r="AE19" s="327"/>
      <c r="AF19" s="298"/>
      <c r="AG19" s="298"/>
      <c r="AH19" s="298"/>
      <c r="AI19" s="298"/>
      <c r="AJ19" s="298"/>
      <c r="AK19" s="298"/>
      <c r="AL19" s="298"/>
      <c r="AM19" s="298"/>
      <c r="AN19" s="298"/>
      <c r="AO19" s="298"/>
      <c r="AP19" s="298"/>
      <c r="AQ19" s="298"/>
      <c r="AR19" s="298"/>
      <c r="AS19" s="298"/>
      <c r="AT19" s="298"/>
    </row>
    <row r="20" spans="1:46" ht="14.5" x14ac:dyDescent="0.35">
      <c r="A20" s="329">
        <v>45888</v>
      </c>
      <c r="B20" s="326">
        <v>1</v>
      </c>
      <c r="C20" s="326" t="s">
        <v>483</v>
      </c>
      <c r="D20" s="189">
        <v>196.5</v>
      </c>
      <c r="E20" s="476"/>
      <c r="F20" s="477"/>
      <c r="G20" s="471">
        <v>7874</v>
      </c>
      <c r="H20" s="460"/>
      <c r="I20" s="396"/>
      <c r="J20" s="477"/>
      <c r="K20" s="478"/>
      <c r="L20" s="447"/>
      <c r="M20" s="447"/>
      <c r="N20" s="436"/>
      <c r="O20" s="479"/>
      <c r="P20" s="477"/>
      <c r="Q20" s="447"/>
      <c r="R20" s="482"/>
      <c r="S20" s="475"/>
      <c r="T20" s="508"/>
      <c r="U20" s="477"/>
      <c r="V20" s="327"/>
      <c r="W20" s="521"/>
      <c r="X20" s="522"/>
      <c r="Y20" s="477"/>
      <c r="Z20" s="204"/>
      <c r="AA20" s="327"/>
      <c r="AB20" s="361"/>
      <c r="AC20" s="327"/>
      <c r="AD20" s="327"/>
      <c r="AE20" s="327"/>
    </row>
    <row r="21" spans="1:46" ht="14.5" x14ac:dyDescent="0.35">
      <c r="A21" s="329">
        <v>45888</v>
      </c>
      <c r="B21" s="326">
        <v>1</v>
      </c>
      <c r="C21" s="326" t="s">
        <v>908</v>
      </c>
      <c r="D21" s="189">
        <v>197</v>
      </c>
      <c r="E21" s="474"/>
      <c r="F21" s="472"/>
      <c r="G21" s="472"/>
      <c r="H21" s="431"/>
      <c r="I21" s="397"/>
      <c r="J21" s="472"/>
      <c r="K21" s="411"/>
      <c r="L21" s="423"/>
      <c r="M21" s="423"/>
      <c r="N21" s="437"/>
      <c r="O21" s="480"/>
      <c r="P21" s="472"/>
      <c r="Q21" s="423"/>
      <c r="R21" s="483"/>
      <c r="S21" s="413"/>
      <c r="T21" s="509"/>
      <c r="U21" s="472"/>
      <c r="V21" s="327"/>
      <c r="W21" s="511"/>
      <c r="X21" s="406"/>
      <c r="Y21" s="472"/>
      <c r="Z21" s="204"/>
      <c r="AA21" s="327"/>
      <c r="AB21" s="361"/>
      <c r="AC21" s="327"/>
      <c r="AD21" s="327"/>
      <c r="AE21" s="327"/>
    </row>
    <row r="22" spans="1:46" ht="14.5" x14ac:dyDescent="0.35">
      <c r="A22" s="329">
        <v>45890</v>
      </c>
      <c r="B22" s="326">
        <v>30</v>
      </c>
      <c r="C22" s="326" t="s">
        <v>487</v>
      </c>
      <c r="D22" s="189">
        <v>11739.5</v>
      </c>
      <c r="E22" s="473" t="s">
        <v>488</v>
      </c>
      <c r="F22" s="471" t="s">
        <v>489</v>
      </c>
      <c r="G22" s="333">
        <v>4958</v>
      </c>
      <c r="H22" s="430">
        <v>9669</v>
      </c>
      <c r="I22" s="395">
        <f>H22/(D23+D22)</f>
        <v>0.63231206879639013</v>
      </c>
      <c r="J22" s="471" t="s">
        <v>505</v>
      </c>
      <c r="K22" s="410">
        <v>441</v>
      </c>
      <c r="L22" s="468">
        <f>K22/(D23+D22)</f>
        <v>2.8839551384756239E-2</v>
      </c>
      <c r="M22" s="422">
        <f>L22+I22</f>
        <v>0.66115162018114637</v>
      </c>
      <c r="N22" s="470" t="s">
        <v>909</v>
      </c>
      <c r="O22" s="488" t="s">
        <v>488</v>
      </c>
      <c r="P22" s="471">
        <v>8895</v>
      </c>
      <c r="Q22" s="464">
        <f>P22/(D22+D23)</f>
        <v>0.58169571330477721</v>
      </c>
      <c r="R22" s="481">
        <v>750</v>
      </c>
      <c r="S22" s="484">
        <f>R22/(D23+D22)</f>
        <v>4.9046856096524212E-2</v>
      </c>
      <c r="T22" s="327">
        <v>3.54</v>
      </c>
      <c r="U22" s="328">
        <v>3.31</v>
      </c>
      <c r="V22" s="327"/>
      <c r="W22" s="204">
        <f>((AA22+AB22+AD22+AE22)*1000)/H22</f>
        <v>1.0704312752094323</v>
      </c>
      <c r="X22" s="328">
        <v>5.7</v>
      </c>
      <c r="Y22" s="333">
        <v>5.7</v>
      </c>
      <c r="Z22" s="204"/>
      <c r="AA22" s="327">
        <v>5.39</v>
      </c>
      <c r="AB22" s="361">
        <v>2.2999999999999998</v>
      </c>
      <c r="AC22" s="327"/>
      <c r="AD22" s="327">
        <v>1.86</v>
      </c>
      <c r="AE22" s="327">
        <v>0.8</v>
      </c>
    </row>
    <row r="23" spans="1:46" ht="14.5" x14ac:dyDescent="0.35">
      <c r="A23" s="329">
        <v>45890</v>
      </c>
      <c r="B23" s="326">
        <v>9</v>
      </c>
      <c r="C23" s="326" t="s">
        <v>487</v>
      </c>
      <c r="D23" s="189">
        <v>3552</v>
      </c>
      <c r="E23" s="474"/>
      <c r="F23" s="472"/>
      <c r="G23" s="333">
        <v>9669</v>
      </c>
      <c r="H23" s="431"/>
      <c r="I23" s="397"/>
      <c r="J23" s="472"/>
      <c r="K23" s="411"/>
      <c r="L23" s="469"/>
      <c r="M23" s="423"/>
      <c r="N23" s="437"/>
      <c r="O23" s="437"/>
      <c r="P23" s="472"/>
      <c r="Q23" s="465"/>
      <c r="R23" s="483"/>
      <c r="S23" s="485"/>
      <c r="T23" s="327"/>
      <c r="U23" s="327"/>
      <c r="V23" s="327"/>
      <c r="W23" s="204"/>
      <c r="X23" s="328"/>
      <c r="Y23" s="333"/>
      <c r="Z23" s="204"/>
      <c r="AA23" s="327"/>
      <c r="AB23" s="361"/>
      <c r="AC23" s="327"/>
      <c r="AD23" s="327"/>
      <c r="AE23" s="327"/>
    </row>
    <row r="24" spans="1:46" ht="24.65" customHeight="1" x14ac:dyDescent="0.35">
      <c r="A24" s="329">
        <v>45895</v>
      </c>
      <c r="B24" s="326">
        <v>33</v>
      </c>
      <c r="C24" s="326" t="s">
        <v>284</v>
      </c>
      <c r="D24" s="189">
        <v>12825.5</v>
      </c>
      <c r="E24" s="339" t="s">
        <v>491</v>
      </c>
      <c r="F24" s="333" t="s">
        <v>498</v>
      </c>
      <c r="G24" s="333">
        <v>8004</v>
      </c>
      <c r="H24" s="364">
        <v>8004</v>
      </c>
      <c r="I24" s="192">
        <f>H24/D24</f>
        <v>0.62406923706678097</v>
      </c>
      <c r="J24" s="333" t="s">
        <v>525</v>
      </c>
      <c r="K24" s="207">
        <v>710</v>
      </c>
      <c r="L24" s="322">
        <f>K24/D24</f>
        <v>5.5358465556898363E-2</v>
      </c>
      <c r="M24" s="200">
        <f>I24+L24</f>
        <v>0.67942770262367935</v>
      </c>
      <c r="N24" s="470" t="s">
        <v>910</v>
      </c>
      <c r="O24" s="473" t="s">
        <v>491</v>
      </c>
      <c r="P24" s="333">
        <v>7377</v>
      </c>
      <c r="Q24" s="464">
        <f>D24/(P25+D25)</f>
        <v>0.41949727705365758</v>
      </c>
      <c r="R24" s="340">
        <f>H24-P24</f>
        <v>627</v>
      </c>
      <c r="S24" s="486">
        <f>(R24+R25)/P25</f>
        <v>7.4320925553319914E-2</v>
      </c>
      <c r="T24" s="327">
        <v>3.45</v>
      </c>
      <c r="U24" s="327">
        <v>3.39</v>
      </c>
      <c r="V24" s="327"/>
      <c r="W24" s="204">
        <f>((AA24+AB24+AD24+AE24)*1000)/P25</f>
        <v>2.8156438631790746</v>
      </c>
      <c r="X24" s="328">
        <v>5.85</v>
      </c>
      <c r="Y24" s="333">
        <v>6.6</v>
      </c>
      <c r="Z24" s="204"/>
      <c r="AA24" s="327">
        <v>16.62</v>
      </c>
      <c r="AB24" s="361">
        <v>7.16</v>
      </c>
      <c r="AC24" s="327"/>
      <c r="AD24" s="327">
        <v>14.7</v>
      </c>
      <c r="AE24" s="327">
        <v>6.3</v>
      </c>
    </row>
    <row r="25" spans="1:46" ht="26.5" customHeight="1" x14ac:dyDescent="0.35">
      <c r="A25" s="341">
        <v>45896</v>
      </c>
      <c r="B25" s="326">
        <v>36</v>
      </c>
      <c r="C25" s="326" t="s">
        <v>284</v>
      </c>
      <c r="D25" s="189">
        <v>14669.5</v>
      </c>
      <c r="E25" s="339" t="s">
        <v>494</v>
      </c>
      <c r="F25" s="333" t="s">
        <v>495</v>
      </c>
      <c r="G25" s="333">
        <v>9082</v>
      </c>
      <c r="H25" s="364">
        <v>9082</v>
      </c>
      <c r="I25" s="192">
        <f t="shared" ref="I25:I28" si="0">H25/D25</f>
        <v>0.6191076723814718</v>
      </c>
      <c r="J25" s="333" t="s">
        <v>525</v>
      </c>
      <c r="K25" s="342">
        <f>[1]PRENSAS!E14</f>
        <v>423</v>
      </c>
      <c r="L25" s="322">
        <f>K25/D25</f>
        <v>2.8835338627765092E-2</v>
      </c>
      <c r="M25" s="200">
        <f>I25+L25</f>
        <v>0.6479430110092369</v>
      </c>
      <c r="N25" s="480"/>
      <c r="O25" s="474"/>
      <c r="P25" s="333">
        <v>15904</v>
      </c>
      <c r="Q25" s="465"/>
      <c r="R25" s="340">
        <v>555</v>
      </c>
      <c r="S25" s="487"/>
      <c r="T25" s="327">
        <v>3.54</v>
      </c>
      <c r="U25" s="327" t="s">
        <v>911</v>
      </c>
      <c r="V25" s="327"/>
      <c r="W25" s="204">
        <f t="shared" ref="W25:W30" si="1">((AA25+AB25+AD25+AE25)*1000)/H25</f>
        <v>0</v>
      </c>
      <c r="X25" s="328">
        <v>5.85</v>
      </c>
      <c r="Y25" s="333" t="s">
        <v>911</v>
      </c>
      <c r="Z25" s="204"/>
      <c r="AA25" s="327"/>
      <c r="AB25" s="361"/>
      <c r="AC25" s="327"/>
      <c r="AD25" s="327"/>
      <c r="AE25" s="327"/>
    </row>
    <row r="26" spans="1:46" ht="14.5" x14ac:dyDescent="0.35">
      <c r="A26" s="329">
        <v>45896</v>
      </c>
      <c r="B26" s="326">
        <v>33</v>
      </c>
      <c r="C26" s="326" t="s">
        <v>262</v>
      </c>
      <c r="D26" s="189">
        <v>8722</v>
      </c>
      <c r="E26" s="339" t="s">
        <v>912</v>
      </c>
      <c r="F26" s="333" t="s">
        <v>505</v>
      </c>
      <c r="G26" s="333">
        <f>5319</f>
        <v>5319</v>
      </c>
      <c r="H26" s="364">
        <v>5319</v>
      </c>
      <c r="I26" s="192">
        <f>H26/D26</f>
        <v>0.60983719330428798</v>
      </c>
      <c r="J26" s="333" t="s">
        <v>525</v>
      </c>
      <c r="K26" s="342">
        <f>[1]PRENSAS!E16</f>
        <v>153</v>
      </c>
      <c r="L26" s="322">
        <f>K26/D26</f>
        <v>1.7541848199954139E-2</v>
      </c>
      <c r="M26" s="200">
        <f>L26+I26</f>
        <v>0.62737904150424217</v>
      </c>
      <c r="N26" s="343" t="s">
        <v>913</v>
      </c>
      <c r="O26" s="339" t="str">
        <f>E26</f>
        <v>25SBVGD-11</v>
      </c>
      <c r="P26" s="333">
        <v>4455</v>
      </c>
      <c r="Q26" s="344">
        <f>P26/D26</f>
        <v>0.51077734464572344</v>
      </c>
      <c r="R26" s="340">
        <v>313</v>
      </c>
      <c r="S26" s="345"/>
      <c r="T26" s="327">
        <v>3.64</v>
      </c>
      <c r="U26" s="327">
        <v>3.53</v>
      </c>
      <c r="V26" s="327">
        <v>3.33</v>
      </c>
      <c r="W26" s="204">
        <f t="shared" si="1"/>
        <v>5.5856363978191386</v>
      </c>
      <c r="X26" s="328">
        <v>4.5</v>
      </c>
      <c r="Y26" s="333">
        <v>5.4</v>
      </c>
      <c r="Z26" s="204">
        <v>7.95</v>
      </c>
      <c r="AA26" s="327">
        <v>9.73</v>
      </c>
      <c r="AB26" s="361">
        <v>4</v>
      </c>
      <c r="AC26" s="327"/>
      <c r="AD26" s="327">
        <v>11.2</v>
      </c>
      <c r="AE26" s="327">
        <v>4.78</v>
      </c>
    </row>
    <row r="27" spans="1:46" ht="14.5" x14ac:dyDescent="0.35">
      <c r="A27" s="329">
        <v>45898</v>
      </c>
      <c r="B27" s="326">
        <v>1</v>
      </c>
      <c r="C27" s="326" t="s">
        <v>284</v>
      </c>
      <c r="D27" s="189">
        <v>400.8</v>
      </c>
      <c r="E27" s="339" t="s">
        <v>825</v>
      </c>
      <c r="F27" s="333" t="s">
        <v>501</v>
      </c>
      <c r="G27" s="333">
        <v>260</v>
      </c>
      <c r="H27" s="364">
        <f>G27</f>
        <v>260</v>
      </c>
      <c r="I27" s="192">
        <f t="shared" si="0"/>
        <v>0.64870259481037917</v>
      </c>
      <c r="J27" s="333" t="s">
        <v>914</v>
      </c>
      <c r="K27" s="207"/>
      <c r="L27" s="322"/>
      <c r="M27" s="200"/>
      <c r="N27" s="343"/>
      <c r="O27" s="339"/>
      <c r="P27" s="333"/>
      <c r="Q27" s="344"/>
      <c r="R27" s="340"/>
      <c r="S27" s="345"/>
      <c r="T27" s="327">
        <v>3.46</v>
      </c>
      <c r="U27" s="327">
        <v>3.5</v>
      </c>
      <c r="V27" s="327">
        <v>3.24</v>
      </c>
      <c r="W27" s="204">
        <f t="shared" si="1"/>
        <v>1.2538461538461538</v>
      </c>
      <c r="X27" s="328">
        <v>6</v>
      </c>
      <c r="Y27" s="333">
        <v>6.75</v>
      </c>
      <c r="Z27" s="204">
        <v>10.35</v>
      </c>
      <c r="AA27" s="327">
        <v>0.22700000000000001</v>
      </c>
      <c r="AB27" s="361">
        <v>9.9000000000000005E-2</v>
      </c>
      <c r="AC27" s="327"/>
      <c r="AD27" s="327"/>
      <c r="AE27" s="327"/>
    </row>
    <row r="28" spans="1:46" ht="14.5" x14ac:dyDescent="0.35">
      <c r="A28" s="329">
        <v>45898</v>
      </c>
      <c r="B28" s="326">
        <v>4</v>
      </c>
      <c r="C28" s="326" t="s">
        <v>284</v>
      </c>
      <c r="D28" s="189">
        <v>1660.8</v>
      </c>
      <c r="E28" s="339" t="s">
        <v>827</v>
      </c>
      <c r="F28" s="333" t="s">
        <v>470</v>
      </c>
      <c r="G28" s="333">
        <v>1079</v>
      </c>
      <c r="H28" s="364">
        <f>G28</f>
        <v>1079</v>
      </c>
      <c r="I28" s="192">
        <f t="shared" si="0"/>
        <v>0.64968689788053957</v>
      </c>
      <c r="J28" s="333" t="s">
        <v>914</v>
      </c>
      <c r="K28" s="207"/>
      <c r="L28" s="322"/>
      <c r="M28" s="200"/>
      <c r="N28" s="343"/>
      <c r="O28" s="339"/>
      <c r="P28" s="333"/>
      <c r="Q28" s="344"/>
      <c r="R28" s="340"/>
      <c r="S28" s="345"/>
      <c r="T28" s="327">
        <v>3.42</v>
      </c>
      <c r="U28" s="327">
        <v>3.46</v>
      </c>
      <c r="V28" s="327"/>
      <c r="W28" s="204">
        <f t="shared" si="1"/>
        <v>1.8535681186283597</v>
      </c>
      <c r="X28" s="328">
        <v>6.6</v>
      </c>
      <c r="Y28" s="333">
        <v>7.2</v>
      </c>
      <c r="Z28" s="204"/>
      <c r="AA28" s="327">
        <v>0.7</v>
      </c>
      <c r="AB28" s="361">
        <v>0.3</v>
      </c>
      <c r="AC28" s="327"/>
      <c r="AD28" s="327">
        <v>0.7</v>
      </c>
      <c r="AE28" s="327">
        <v>0.3</v>
      </c>
    </row>
    <row r="29" spans="1:46" ht="14.5" x14ac:dyDescent="0.35">
      <c r="A29" s="329">
        <v>45898</v>
      </c>
      <c r="B29" s="326">
        <v>15</v>
      </c>
      <c r="C29" s="326" t="s">
        <v>262</v>
      </c>
      <c r="D29" s="189">
        <v>3815.08</v>
      </c>
      <c r="E29" s="339" t="s">
        <v>507</v>
      </c>
      <c r="F29" s="333" t="s">
        <v>467</v>
      </c>
      <c r="G29" s="333">
        <v>2631</v>
      </c>
      <c r="H29" s="364">
        <f>G29</f>
        <v>2631</v>
      </c>
      <c r="I29" s="192">
        <f>H29/D29</f>
        <v>0.68963167220608745</v>
      </c>
      <c r="J29" s="346" t="s">
        <v>525</v>
      </c>
      <c r="K29" s="347">
        <f>[1]PRENSAS!E18</f>
        <v>442</v>
      </c>
      <c r="L29" s="322">
        <f>K29/D29</f>
        <v>0.11585602398901203</v>
      </c>
      <c r="M29" s="200">
        <f>L29+I29</f>
        <v>0.80548769619509952</v>
      </c>
      <c r="N29" s="343" t="s">
        <v>902</v>
      </c>
      <c r="O29" s="339" t="str">
        <f>E29</f>
        <v>25SBVDG-12</v>
      </c>
      <c r="P29" s="333">
        <v>2039</v>
      </c>
      <c r="Q29" s="344">
        <f>P29/D29</f>
        <v>0.53445799301718444</v>
      </c>
      <c r="R29" s="340">
        <f>H29-P29</f>
        <v>592</v>
      </c>
      <c r="S29" s="345"/>
      <c r="T29" s="326">
        <v>3.78</v>
      </c>
      <c r="U29" s="326">
        <v>3.24</v>
      </c>
      <c r="V29" s="326"/>
      <c r="W29" s="204">
        <f t="shared" si="1"/>
        <v>4.0288863549980993</v>
      </c>
      <c r="X29" s="189">
        <v>4.3499999999999996</v>
      </c>
      <c r="Y29" s="333">
        <v>7.35</v>
      </c>
      <c r="Z29" s="204"/>
      <c r="AA29" s="327">
        <v>7.43</v>
      </c>
      <c r="AB29" s="361">
        <v>3.17</v>
      </c>
      <c r="AC29" s="327"/>
      <c r="AD29" s="327"/>
      <c r="AE29" s="327"/>
    </row>
    <row r="30" spans="1:46" ht="14.5" x14ac:dyDescent="0.35">
      <c r="A30" s="329">
        <v>45899</v>
      </c>
      <c r="B30" s="326">
        <v>21</v>
      </c>
      <c r="C30" s="326" t="s">
        <v>237</v>
      </c>
      <c r="D30" s="189">
        <v>8506</v>
      </c>
      <c r="E30" s="489" t="s">
        <v>511</v>
      </c>
      <c r="F30" s="454" t="s">
        <v>498</v>
      </c>
      <c r="G30" s="333">
        <v>4612</v>
      </c>
      <c r="H30" s="430">
        <v>9361</v>
      </c>
      <c r="I30" s="461">
        <f>H30/(D30+D31+D32)</f>
        <v>0.63946061521015929</v>
      </c>
      <c r="J30" s="454" t="s">
        <v>525</v>
      </c>
      <c r="K30" s="493">
        <f>[1]PRENSAS!E19</f>
        <v>730</v>
      </c>
      <c r="L30" s="422">
        <f>K30/(D30+D31+D32)</f>
        <v>4.9867134825704117E-2</v>
      </c>
      <c r="M30" s="422">
        <f>L30+I30</f>
        <v>0.68932775003586344</v>
      </c>
      <c r="N30" s="470" t="s">
        <v>915</v>
      </c>
      <c r="O30" s="489" t="str">
        <f>E30</f>
        <v>25SBVDG-13</v>
      </c>
      <c r="P30" s="454">
        <v>8400</v>
      </c>
      <c r="Q30" s="464">
        <f>P30/(D30+D31+D32)</f>
        <v>0.57381360621358168</v>
      </c>
      <c r="R30" s="340"/>
      <c r="S30" s="345"/>
      <c r="T30" s="454">
        <v>3.59</v>
      </c>
      <c r="U30" s="454">
        <v>3.3</v>
      </c>
      <c r="V30" s="454"/>
      <c r="W30" s="488">
        <f t="shared" si="1"/>
        <v>2.8650785172524302</v>
      </c>
      <c r="X30" s="392">
        <v>5.4</v>
      </c>
      <c r="Y30" s="454">
        <v>7.05</v>
      </c>
      <c r="Z30" s="204"/>
      <c r="AA30" s="327">
        <v>18.82</v>
      </c>
      <c r="AB30" s="361">
        <v>8</v>
      </c>
      <c r="AC30" s="327"/>
      <c r="AD30" s="327"/>
      <c r="AE30" s="327"/>
    </row>
    <row r="31" spans="1:46" ht="14.5" x14ac:dyDescent="0.35">
      <c r="A31" s="329">
        <v>45899</v>
      </c>
      <c r="B31" s="326">
        <v>2</v>
      </c>
      <c r="C31" s="326" t="s">
        <v>284</v>
      </c>
      <c r="D31" s="189">
        <v>800.4</v>
      </c>
      <c r="E31" s="490"/>
      <c r="F31" s="456"/>
      <c r="G31" s="471">
        <v>9361</v>
      </c>
      <c r="H31" s="460"/>
      <c r="I31" s="462"/>
      <c r="J31" s="456"/>
      <c r="K31" s="494"/>
      <c r="L31" s="447"/>
      <c r="M31" s="447"/>
      <c r="N31" s="479"/>
      <c r="O31" s="490"/>
      <c r="P31" s="456"/>
      <c r="Q31" s="492"/>
      <c r="R31" s="340"/>
      <c r="S31" s="345"/>
      <c r="T31" s="456"/>
      <c r="U31" s="456"/>
      <c r="V31" s="456"/>
      <c r="W31" s="436"/>
      <c r="X31" s="394"/>
      <c r="Y31" s="456"/>
      <c r="Z31" s="204"/>
      <c r="AA31" s="327"/>
      <c r="AB31" s="361"/>
      <c r="AC31" s="327"/>
      <c r="AD31" s="327"/>
      <c r="AE31" s="327"/>
    </row>
    <row r="32" spans="1:46" ht="14.5" x14ac:dyDescent="0.35">
      <c r="A32" s="329">
        <v>45899</v>
      </c>
      <c r="B32" s="326">
        <v>13</v>
      </c>
      <c r="C32" s="326" t="s">
        <v>237</v>
      </c>
      <c r="D32" s="189">
        <v>5332.5</v>
      </c>
      <c r="E32" s="491"/>
      <c r="F32" s="455"/>
      <c r="G32" s="472"/>
      <c r="H32" s="431"/>
      <c r="I32" s="463"/>
      <c r="J32" s="455"/>
      <c r="K32" s="495"/>
      <c r="L32" s="423"/>
      <c r="M32" s="423"/>
      <c r="N32" s="480"/>
      <c r="O32" s="491"/>
      <c r="P32" s="455"/>
      <c r="Q32" s="465"/>
      <c r="R32" s="340"/>
      <c r="S32" s="345"/>
      <c r="T32" s="455"/>
      <c r="U32" s="455"/>
      <c r="V32" s="455"/>
      <c r="W32" s="437"/>
      <c r="X32" s="393"/>
      <c r="Y32" s="455"/>
      <c r="Z32" s="204"/>
      <c r="AA32" s="327"/>
      <c r="AB32" s="361"/>
      <c r="AC32" s="327"/>
      <c r="AD32" s="327"/>
      <c r="AE32" s="327"/>
    </row>
    <row r="33" spans="1:31" ht="14.5" x14ac:dyDescent="0.35">
      <c r="A33" s="329">
        <v>45911</v>
      </c>
      <c r="B33" s="326">
        <v>16</v>
      </c>
      <c r="C33" s="326" t="s">
        <v>217</v>
      </c>
      <c r="D33" s="189">
        <v>7203</v>
      </c>
      <c r="E33" s="473" t="s">
        <v>524</v>
      </c>
      <c r="F33" s="471" t="s">
        <v>525</v>
      </c>
      <c r="G33" s="471">
        <v>5607</v>
      </c>
      <c r="H33" s="496">
        <f>G33</f>
        <v>5607</v>
      </c>
      <c r="I33" s="395">
        <f>H33/(D33+D34)</f>
        <v>0.71281464530892447</v>
      </c>
      <c r="J33" s="454" t="s">
        <v>916</v>
      </c>
      <c r="K33" s="207"/>
      <c r="L33" s="198"/>
      <c r="M33" s="200"/>
      <c r="N33" s="488" t="s">
        <v>917</v>
      </c>
      <c r="O33" s="488" t="str">
        <f>E33</f>
        <v>25SBKMP-1</v>
      </c>
      <c r="P33" s="471">
        <v>4896</v>
      </c>
      <c r="Q33" s="464">
        <f>P33/(D33+D34)</f>
        <v>0.62242562929061784</v>
      </c>
      <c r="R33" s="481">
        <v>313</v>
      </c>
      <c r="S33" s="486">
        <f>R33/(D33+D34)</f>
        <v>3.9791507754894484E-2</v>
      </c>
      <c r="T33" s="471">
        <v>3.71</v>
      </c>
      <c r="U33" s="471">
        <v>3.33</v>
      </c>
      <c r="V33" s="326"/>
      <c r="W33" s="510">
        <f>((AA33+AB33+AD33+AE33)*1000)/H33</f>
        <v>2.9784198323524165</v>
      </c>
      <c r="X33" s="405">
        <v>5.55</v>
      </c>
      <c r="Y33" s="471">
        <v>7.45</v>
      </c>
      <c r="Z33" s="204"/>
      <c r="AA33" s="327">
        <v>11.7</v>
      </c>
      <c r="AB33" s="361">
        <v>5</v>
      </c>
      <c r="AC33" s="326"/>
      <c r="AD33" s="327"/>
      <c r="AE33" s="327"/>
    </row>
    <row r="34" spans="1:31" ht="14.5" x14ac:dyDescent="0.35">
      <c r="A34" s="329">
        <v>45911</v>
      </c>
      <c r="B34" s="326">
        <v>2</v>
      </c>
      <c r="C34" s="326" t="s">
        <v>246</v>
      </c>
      <c r="D34" s="189">
        <v>663</v>
      </c>
      <c r="E34" s="474"/>
      <c r="F34" s="472"/>
      <c r="G34" s="472"/>
      <c r="H34" s="497"/>
      <c r="I34" s="397"/>
      <c r="J34" s="455"/>
      <c r="K34" s="207"/>
      <c r="L34" s="198"/>
      <c r="M34" s="200"/>
      <c r="N34" s="437"/>
      <c r="O34" s="437"/>
      <c r="P34" s="472"/>
      <c r="Q34" s="465"/>
      <c r="R34" s="483"/>
      <c r="S34" s="487"/>
      <c r="T34" s="472"/>
      <c r="U34" s="472"/>
      <c r="V34" s="326"/>
      <c r="W34" s="511"/>
      <c r="X34" s="406"/>
      <c r="Y34" s="472"/>
      <c r="Z34" s="204"/>
      <c r="AA34" s="327"/>
      <c r="AB34" s="361"/>
      <c r="AC34" s="326"/>
      <c r="AD34" s="327"/>
      <c r="AE34" s="327"/>
    </row>
    <row r="35" spans="1:31" ht="14.5" x14ac:dyDescent="0.35">
      <c r="A35" s="329">
        <v>45911</v>
      </c>
      <c r="B35" s="326">
        <v>11</v>
      </c>
      <c r="C35" s="326" t="s">
        <v>532</v>
      </c>
      <c r="D35" s="189">
        <v>4614.5</v>
      </c>
      <c r="E35" s="473" t="s">
        <v>536</v>
      </c>
      <c r="F35" s="333" t="s">
        <v>452</v>
      </c>
      <c r="G35" s="333">
        <v>4062</v>
      </c>
      <c r="H35" s="366">
        <v>4062</v>
      </c>
      <c r="I35" s="348">
        <f>H35/(D35+D36)</f>
        <v>0.63197199533255544</v>
      </c>
      <c r="J35" s="333" t="s">
        <v>470</v>
      </c>
      <c r="K35" s="207"/>
      <c r="L35" s="198"/>
      <c r="M35" s="200">
        <f>I35+I36</f>
        <v>0.67195643718397513</v>
      </c>
      <c r="N35" s="334" t="s">
        <v>467</v>
      </c>
      <c r="O35" s="334" t="s">
        <v>536</v>
      </c>
      <c r="P35" s="333">
        <v>3440</v>
      </c>
      <c r="Q35" s="344">
        <f>P35/(D35+D36)</f>
        <v>0.53520031116297162</v>
      </c>
      <c r="R35" s="340">
        <v>374</v>
      </c>
      <c r="S35" s="345">
        <f>R35/(D35+D36)</f>
        <v>5.8187475690392843E-2</v>
      </c>
      <c r="T35" s="326">
        <v>3.85</v>
      </c>
      <c r="U35" s="326">
        <v>3.56</v>
      </c>
      <c r="V35" s="326"/>
      <c r="W35" s="204">
        <f>((AA35+AB35+AD35+AE35)*1000)/H35</f>
        <v>2.5465288035450517</v>
      </c>
      <c r="X35" s="189">
        <v>4.8</v>
      </c>
      <c r="Y35" s="333">
        <v>7.2</v>
      </c>
      <c r="Z35" s="204"/>
      <c r="AA35" s="327">
        <v>7</v>
      </c>
      <c r="AB35" s="361">
        <v>3</v>
      </c>
      <c r="AC35" s="326"/>
      <c r="AD35" s="327">
        <v>0.24079999999999999</v>
      </c>
      <c r="AE35" s="327">
        <v>0.1032</v>
      </c>
    </row>
    <row r="36" spans="1:31" ht="14.5" x14ac:dyDescent="0.35">
      <c r="A36" s="329">
        <v>45911</v>
      </c>
      <c r="B36" s="326">
        <v>5</v>
      </c>
      <c r="C36" s="326" t="s">
        <v>918</v>
      </c>
      <c r="D36" s="189">
        <v>1813</v>
      </c>
      <c r="E36" s="474"/>
      <c r="F36" s="333" t="s">
        <v>470</v>
      </c>
      <c r="G36" s="333" t="s">
        <v>919</v>
      </c>
      <c r="H36" s="366">
        <v>257</v>
      </c>
      <c r="I36" s="349">
        <f>H36/(D36+D35)</f>
        <v>3.998444185141968E-2</v>
      </c>
      <c r="J36" s="333" t="s">
        <v>920</v>
      </c>
      <c r="K36" s="207"/>
      <c r="L36" s="198"/>
      <c r="N36" s="334" t="s">
        <v>470</v>
      </c>
      <c r="O36" s="334" t="s">
        <v>534</v>
      </c>
      <c r="P36" s="333">
        <v>1760</v>
      </c>
      <c r="Q36" s="344" t="s">
        <v>204</v>
      </c>
      <c r="R36" s="340">
        <v>64</v>
      </c>
      <c r="S36" s="345"/>
      <c r="T36" s="326">
        <v>4.16</v>
      </c>
      <c r="U36" s="326">
        <v>3.63</v>
      </c>
      <c r="V36" s="326"/>
      <c r="W36" s="204">
        <f>((AA36+AB36+AD36+AE36)*1000)/(H36+1000)</f>
        <v>4.6276849642004763</v>
      </c>
      <c r="X36" s="189">
        <v>3</v>
      </c>
      <c r="Y36" s="333">
        <v>5.25</v>
      </c>
      <c r="Z36" s="204"/>
      <c r="AA36" s="327">
        <v>3</v>
      </c>
      <c r="AB36" s="361">
        <v>1.3</v>
      </c>
      <c r="AC36" s="326"/>
      <c r="AD36" s="327">
        <v>1.06</v>
      </c>
      <c r="AE36" s="327">
        <v>0.45700000000000002</v>
      </c>
    </row>
    <row r="37" spans="1:31" ht="14.5" x14ac:dyDescent="0.35">
      <c r="A37" s="329">
        <v>45917</v>
      </c>
      <c r="B37" s="326">
        <v>10</v>
      </c>
      <c r="C37" s="326" t="s">
        <v>555</v>
      </c>
      <c r="D37" s="189">
        <v>4401.5</v>
      </c>
      <c r="E37" s="473" t="s">
        <v>556</v>
      </c>
      <c r="F37" s="471" t="s">
        <v>557</v>
      </c>
      <c r="G37" s="471">
        <v>2938</v>
      </c>
      <c r="H37" s="496">
        <v>2938</v>
      </c>
      <c r="I37" s="395">
        <f>G37/(D37+D38)</f>
        <v>0.61522353680242903</v>
      </c>
      <c r="J37" s="499" t="s">
        <v>921</v>
      </c>
      <c r="K37" s="410">
        <v>318</v>
      </c>
      <c r="L37" s="412">
        <f>K37/(D37+D38)</f>
        <v>6.6589885875824525E-2</v>
      </c>
      <c r="M37" s="422">
        <f>L37+I37</f>
        <v>0.68181342267825351</v>
      </c>
      <c r="N37" s="488" t="s">
        <v>922</v>
      </c>
      <c r="O37" s="488" t="s">
        <v>556</v>
      </c>
      <c r="P37" s="471">
        <v>2746</v>
      </c>
      <c r="Q37" s="464">
        <f>P37/(D37+D38)</f>
        <v>0.57501832268872366</v>
      </c>
      <c r="R37" s="481">
        <v>300</v>
      </c>
      <c r="S37" s="201"/>
      <c r="T37" s="454">
        <v>3.85</v>
      </c>
      <c r="U37" s="526">
        <v>3.42</v>
      </c>
      <c r="V37" s="326"/>
      <c r="W37" s="510">
        <f>((AA37+AB37+AD37+AE37)*1000)/H37</f>
        <v>5.1701837985023822</v>
      </c>
      <c r="X37" s="405">
        <v>4.8</v>
      </c>
      <c r="Y37" s="471">
        <v>7.35</v>
      </c>
      <c r="Z37" s="204"/>
      <c r="AA37" s="327">
        <v>5.14</v>
      </c>
      <c r="AB37" s="361">
        <v>2.15</v>
      </c>
      <c r="AC37" s="326"/>
      <c r="AD37" s="327">
        <v>5.5</v>
      </c>
      <c r="AE37" s="327">
        <v>2.4</v>
      </c>
    </row>
    <row r="38" spans="1:31" ht="14.5" x14ac:dyDescent="0.35">
      <c r="A38" s="329">
        <v>45917</v>
      </c>
      <c r="B38" s="326">
        <v>1</v>
      </c>
      <c r="C38" s="326" t="s">
        <v>217</v>
      </c>
      <c r="D38" s="189">
        <v>374</v>
      </c>
      <c r="E38" s="474"/>
      <c r="F38" s="472"/>
      <c r="G38" s="472"/>
      <c r="H38" s="497"/>
      <c r="I38" s="397"/>
      <c r="J38" s="472"/>
      <c r="K38" s="411"/>
      <c r="L38" s="413"/>
      <c r="M38" s="423"/>
      <c r="N38" s="437"/>
      <c r="O38" s="437"/>
      <c r="P38" s="472"/>
      <c r="Q38" s="465"/>
      <c r="R38" s="483"/>
      <c r="S38" s="201"/>
      <c r="T38" s="455"/>
      <c r="U38" s="526"/>
      <c r="V38" s="326"/>
      <c r="W38" s="511"/>
      <c r="X38" s="406"/>
      <c r="Y38" s="472"/>
      <c r="Z38" s="204"/>
      <c r="AA38" s="327"/>
      <c r="AB38" s="361"/>
      <c r="AC38" s="326"/>
      <c r="AD38" s="327"/>
      <c r="AE38" s="327"/>
    </row>
    <row r="39" spans="1:31" ht="14.5" x14ac:dyDescent="0.35">
      <c r="A39" s="329">
        <v>45918</v>
      </c>
      <c r="B39" s="326">
        <v>12</v>
      </c>
      <c r="C39" s="326" t="s">
        <v>923</v>
      </c>
      <c r="D39" s="189">
        <v>4838</v>
      </c>
      <c r="E39" s="338" t="s">
        <v>561</v>
      </c>
      <c r="F39" s="336" t="s">
        <v>467</v>
      </c>
      <c r="G39" s="336">
        <v>2654</v>
      </c>
      <c r="H39" s="365">
        <v>2654</v>
      </c>
      <c r="I39" s="192">
        <f>H39/D39</f>
        <v>0.54857379082265401</v>
      </c>
      <c r="J39" s="336" t="s">
        <v>569</v>
      </c>
      <c r="K39" s="271">
        <v>241</v>
      </c>
      <c r="L39" s="198">
        <f>K39/D39</f>
        <v>4.9813972715998349E-2</v>
      </c>
      <c r="M39" s="200">
        <f>L39+I39</f>
        <v>0.59838776353865231</v>
      </c>
      <c r="N39" s="331" t="s">
        <v>467</v>
      </c>
      <c r="O39" s="331" t="s">
        <v>561</v>
      </c>
      <c r="P39" s="336">
        <v>2483</v>
      </c>
      <c r="Q39" s="344">
        <f>P39/D39</f>
        <v>0.51322860686233984</v>
      </c>
      <c r="R39" s="340">
        <f>H39-P39</f>
        <v>171</v>
      </c>
      <c r="S39" s="201"/>
      <c r="T39" s="351">
        <v>3.43</v>
      </c>
      <c r="U39" s="326">
        <v>3.3</v>
      </c>
      <c r="V39" s="326"/>
      <c r="W39" s="204">
        <f>((AA39+AB39+AD39+AE39)*1000)/H39</f>
        <v>1.2219291635267522</v>
      </c>
      <c r="X39" s="350">
        <v>5.85</v>
      </c>
      <c r="Y39" s="333">
        <v>6</v>
      </c>
      <c r="Z39" s="204"/>
      <c r="AA39" s="327">
        <v>2.27</v>
      </c>
      <c r="AB39" s="361">
        <v>0.97299999999999998</v>
      </c>
      <c r="AC39" s="326"/>
      <c r="AD39" s="327"/>
      <c r="AE39" s="327"/>
    </row>
    <row r="40" spans="1:31" ht="26.5" customHeight="1" x14ac:dyDescent="0.35">
      <c r="A40" s="329">
        <v>45918</v>
      </c>
      <c r="B40" s="326">
        <v>24</v>
      </c>
      <c r="C40" s="326" t="s">
        <v>563</v>
      </c>
      <c r="D40" s="189">
        <v>10087.200000000001</v>
      </c>
      <c r="E40" s="473" t="s">
        <v>564</v>
      </c>
      <c r="F40" s="471" t="s">
        <v>565</v>
      </c>
      <c r="G40" s="336">
        <v>3812</v>
      </c>
      <c r="H40" s="496">
        <v>6603</v>
      </c>
      <c r="I40" s="395">
        <f>H40/(D40+D41+D42)</f>
        <v>0.58786346396965861</v>
      </c>
      <c r="J40" s="454" t="s">
        <v>569</v>
      </c>
      <c r="K40" s="410">
        <v>1295</v>
      </c>
      <c r="L40" s="412">
        <f>K40/(D40+D41+D42)</f>
        <v>0.11529353109809297</v>
      </c>
      <c r="M40" s="422">
        <f>L40+I40</f>
        <v>0.70315699506775153</v>
      </c>
      <c r="N40" s="470" t="s">
        <v>910</v>
      </c>
      <c r="O40" s="331" t="s">
        <v>588</v>
      </c>
      <c r="P40" s="336">
        <v>6195</v>
      </c>
      <c r="Q40" s="464">
        <f>P40/(D40+D41+D42)</f>
        <v>0.55153932444222853</v>
      </c>
      <c r="R40" s="481">
        <v>232</v>
      </c>
      <c r="S40" s="201"/>
      <c r="T40" s="326">
        <v>3.48</v>
      </c>
      <c r="U40" s="326">
        <v>3.4</v>
      </c>
      <c r="V40" s="326"/>
      <c r="W40" s="204">
        <f>((AA40+AB40+AD40+AE40)*1000)/H40</f>
        <v>1.785552021808269</v>
      </c>
      <c r="X40" s="189">
        <v>6.9</v>
      </c>
      <c r="Y40" s="333">
        <v>7.2</v>
      </c>
      <c r="Z40" s="204"/>
      <c r="AA40" s="327">
        <v>8.25</v>
      </c>
      <c r="AB40" s="361">
        <v>3.54</v>
      </c>
      <c r="AC40" s="326"/>
      <c r="AD40" s="327"/>
      <c r="AE40" s="327"/>
    </row>
    <row r="41" spans="1:31" ht="14.5" x14ac:dyDescent="0.35">
      <c r="A41" s="329">
        <v>45918</v>
      </c>
      <c r="B41" s="326">
        <v>2</v>
      </c>
      <c r="C41" s="326" t="s">
        <v>308</v>
      </c>
      <c r="D41" s="189">
        <v>503.5</v>
      </c>
      <c r="E41" s="476"/>
      <c r="F41" s="477"/>
      <c r="G41" s="336">
        <v>6603</v>
      </c>
      <c r="H41" s="498"/>
      <c r="I41" s="396"/>
      <c r="J41" s="456"/>
      <c r="K41" s="478"/>
      <c r="L41" s="475"/>
      <c r="M41" s="447"/>
      <c r="N41" s="479"/>
      <c r="O41" s="331" t="s">
        <v>924</v>
      </c>
      <c r="P41" s="352">
        <f>P40+P47</f>
        <v>17332</v>
      </c>
      <c r="Q41" s="492"/>
      <c r="R41" s="482"/>
      <c r="S41" s="201"/>
      <c r="T41" s="326"/>
      <c r="U41" s="326"/>
      <c r="V41" s="326"/>
      <c r="W41" s="204"/>
      <c r="X41" s="189"/>
      <c r="Y41" s="333"/>
      <c r="Z41" s="204"/>
      <c r="AA41" s="327"/>
      <c r="AB41" s="361"/>
      <c r="AC41" s="326"/>
      <c r="AD41" s="327"/>
      <c r="AE41" s="327"/>
    </row>
    <row r="42" spans="1:31" ht="14.5" x14ac:dyDescent="0.35">
      <c r="A42" s="329">
        <v>45918</v>
      </c>
      <c r="B42" s="326">
        <v>2</v>
      </c>
      <c r="C42" s="326" t="s">
        <v>306</v>
      </c>
      <c r="D42" s="189">
        <v>641.5</v>
      </c>
      <c r="E42" s="474"/>
      <c r="F42" s="472"/>
      <c r="G42" s="336"/>
      <c r="H42" s="497"/>
      <c r="I42" s="397"/>
      <c r="J42" s="455"/>
      <c r="K42" s="411"/>
      <c r="L42" s="413"/>
      <c r="M42" s="423"/>
      <c r="N42" s="480"/>
      <c r="O42" s="331"/>
      <c r="P42" s="336"/>
      <c r="Q42" s="465"/>
      <c r="R42" s="483"/>
      <c r="S42" s="201"/>
      <c r="T42" s="326"/>
      <c r="U42" s="326"/>
      <c r="V42" s="326"/>
      <c r="W42" s="204"/>
      <c r="X42" s="189"/>
      <c r="Y42" s="333"/>
      <c r="Z42" s="204"/>
      <c r="AA42" s="327"/>
      <c r="AB42" s="361"/>
      <c r="AC42" s="326"/>
      <c r="AD42" s="327"/>
      <c r="AE42" s="327"/>
    </row>
    <row r="43" spans="1:31" ht="14.5" x14ac:dyDescent="0.35">
      <c r="A43" s="329">
        <v>45919</v>
      </c>
      <c r="B43" s="326">
        <v>40</v>
      </c>
      <c r="C43" s="326" t="s">
        <v>322</v>
      </c>
      <c r="D43" s="189">
        <v>20061</v>
      </c>
      <c r="E43" s="338" t="s">
        <v>571</v>
      </c>
      <c r="F43" s="336" t="s">
        <v>572</v>
      </c>
      <c r="G43" s="336">
        <v>13195</v>
      </c>
      <c r="H43" s="365">
        <v>13195</v>
      </c>
      <c r="I43" s="206">
        <f>H43/D43</f>
        <v>0.65774388116245452</v>
      </c>
      <c r="J43" s="332" t="s">
        <v>505</v>
      </c>
      <c r="K43" s="271">
        <f>[1]PRENSAS!E25</f>
        <v>595</v>
      </c>
      <c r="L43" s="272">
        <f>K43/D43</f>
        <v>2.965953840785604E-2</v>
      </c>
      <c r="M43" s="200">
        <f>L43+I43</f>
        <v>0.68740341957031059</v>
      </c>
      <c r="N43" s="331" t="s">
        <v>925</v>
      </c>
      <c r="O43" s="331" t="s">
        <v>571</v>
      </c>
      <c r="P43" s="336">
        <v>12643</v>
      </c>
      <c r="Q43" s="344">
        <f>P43/D43</f>
        <v>0.63022780519415778</v>
      </c>
      <c r="R43" s="340">
        <v>557</v>
      </c>
      <c r="S43" s="345">
        <f>R43/D43</f>
        <v>2.7765315786850108E-2</v>
      </c>
      <c r="T43" s="326">
        <v>3.54</v>
      </c>
      <c r="U43" s="326"/>
      <c r="V43" s="326"/>
      <c r="W43" s="204">
        <f>((AA43+AB43+AD43+AE43)*1000)/H43</f>
        <v>2.7586206896551726</v>
      </c>
      <c r="X43" s="189">
        <v>6.9</v>
      </c>
      <c r="Y43" s="333"/>
      <c r="Z43" s="204"/>
      <c r="AA43" s="327">
        <v>16.62</v>
      </c>
      <c r="AB43" s="361">
        <v>7.13</v>
      </c>
      <c r="AC43" s="326"/>
      <c r="AD43" s="327">
        <v>8.85</v>
      </c>
      <c r="AE43" s="327">
        <v>3.8</v>
      </c>
    </row>
    <row r="44" spans="1:31" ht="14.5" x14ac:dyDescent="0.35">
      <c r="A44" s="329">
        <v>45920</v>
      </c>
      <c r="B44" s="326">
        <v>10</v>
      </c>
      <c r="C44" s="326" t="s">
        <v>227</v>
      </c>
      <c r="D44" s="189">
        <v>5057</v>
      </c>
      <c r="E44" s="338" t="s">
        <v>581</v>
      </c>
      <c r="F44" s="336" t="s">
        <v>582</v>
      </c>
      <c r="G44" s="336">
        <v>3186</v>
      </c>
      <c r="H44" s="365">
        <v>3186</v>
      </c>
      <c r="I44" s="206">
        <f t="shared" ref="I44" si="2">H44/D44</f>
        <v>0.63001779711291284</v>
      </c>
      <c r="J44" s="336" t="s">
        <v>505</v>
      </c>
      <c r="K44" s="271">
        <v>307</v>
      </c>
      <c r="L44" s="272">
        <f>K44/D44</f>
        <v>6.0707929602531144E-2</v>
      </c>
      <c r="M44" s="200"/>
      <c r="N44" s="331" t="s">
        <v>525</v>
      </c>
      <c r="O44" s="338" t="s">
        <v>581</v>
      </c>
      <c r="P44" s="336">
        <v>2919</v>
      </c>
      <c r="Q44" s="344">
        <f>P44/D44</f>
        <v>0.57721969547162344</v>
      </c>
      <c r="R44" s="340">
        <f>G44-P44</f>
        <v>267</v>
      </c>
      <c r="S44" s="345">
        <f t="shared" ref="S44:S45" si="3">R44/D44</f>
        <v>5.27981016412893E-2</v>
      </c>
      <c r="T44" s="326">
        <v>3.54</v>
      </c>
      <c r="U44" s="326"/>
      <c r="V44" s="326"/>
      <c r="W44" s="204">
        <f>((AA44+AB44+AD44+AE44)*1000)/H44</f>
        <v>3.9673571876961709</v>
      </c>
      <c r="X44" s="189">
        <v>6.45</v>
      </c>
      <c r="Y44" s="333"/>
      <c r="Z44" s="204"/>
      <c r="AA44" s="327">
        <v>8.85</v>
      </c>
      <c r="AB44" s="361">
        <v>3.79</v>
      </c>
      <c r="AC44" s="326"/>
      <c r="AD44" s="327"/>
      <c r="AE44" s="327"/>
    </row>
    <row r="45" spans="1:31" ht="14.5" x14ac:dyDescent="0.35">
      <c r="A45" s="353">
        <v>45919</v>
      </c>
      <c r="B45" s="326">
        <v>6</v>
      </c>
      <c r="C45" s="326" t="s">
        <v>926</v>
      </c>
      <c r="D45" s="189">
        <v>2521.8000000000002</v>
      </c>
      <c r="E45" s="489" t="s">
        <v>574</v>
      </c>
      <c r="F45" s="454" t="s">
        <v>575</v>
      </c>
      <c r="G45" s="336">
        <v>4526</v>
      </c>
      <c r="H45" s="496">
        <v>7757</v>
      </c>
      <c r="I45" s="206">
        <f>H45/(D45+D46)</f>
        <v>0.63028402188971444</v>
      </c>
      <c r="J45" s="336" t="s">
        <v>505</v>
      </c>
      <c r="K45" s="271">
        <f>[1]PRENSAS!E26</f>
        <v>595</v>
      </c>
      <c r="L45" s="198">
        <f>K45/(D45+D46)</f>
        <v>4.8345880240348083E-2</v>
      </c>
      <c r="M45" s="200">
        <f>L45+I45</f>
        <v>0.67862990213006258</v>
      </c>
      <c r="N45" s="470" t="s">
        <v>671</v>
      </c>
      <c r="O45" s="331" t="s">
        <v>585</v>
      </c>
      <c r="P45" s="471">
        <v>6650</v>
      </c>
      <c r="Q45" s="464">
        <f>P45/(D45+D46)</f>
        <v>0.54033630856859627</v>
      </c>
      <c r="R45" s="340">
        <v>250</v>
      </c>
      <c r="S45" s="345">
        <f t="shared" si="3"/>
        <v>9.9135538107700844E-2</v>
      </c>
      <c r="T45" s="326">
        <v>3.36</v>
      </c>
      <c r="U45" s="326"/>
      <c r="V45" s="326"/>
      <c r="W45" s="204">
        <f>((AA45+AB45+AD45+AE45)*1000)/H45</f>
        <v>1.6591465772850331</v>
      </c>
      <c r="X45" s="189">
        <v>8.6999999999999993</v>
      </c>
      <c r="Y45" s="333"/>
      <c r="Z45" s="204"/>
      <c r="AA45" s="327">
        <v>9</v>
      </c>
      <c r="AB45" s="361">
        <v>3.87</v>
      </c>
      <c r="AC45" s="326"/>
      <c r="AD45" s="327"/>
      <c r="AE45" s="327"/>
    </row>
    <row r="46" spans="1:31" ht="14.5" x14ac:dyDescent="0.35">
      <c r="A46" s="329">
        <v>45919</v>
      </c>
      <c r="B46" s="326">
        <v>23</v>
      </c>
      <c r="C46" s="326" t="s">
        <v>563</v>
      </c>
      <c r="D46" s="189">
        <v>9785.35</v>
      </c>
      <c r="E46" s="491"/>
      <c r="F46" s="455"/>
      <c r="G46" s="333">
        <v>7757</v>
      </c>
      <c r="H46" s="497"/>
      <c r="I46" s="192"/>
      <c r="J46" s="333"/>
      <c r="K46" s="207"/>
      <c r="L46" s="198"/>
      <c r="M46" s="200"/>
      <c r="N46" s="480"/>
      <c r="O46" s="334"/>
      <c r="P46" s="472"/>
      <c r="Q46" s="465"/>
      <c r="R46" s="340"/>
      <c r="S46" s="201"/>
      <c r="T46" s="326"/>
      <c r="U46" s="326"/>
      <c r="V46" s="326"/>
      <c r="W46" s="204"/>
      <c r="X46" s="189"/>
      <c r="Y46" s="333"/>
      <c r="Z46" s="204"/>
      <c r="AA46" s="327"/>
      <c r="AB46" s="361"/>
      <c r="AC46" s="326"/>
      <c r="AD46" s="327"/>
      <c r="AE46" s="327"/>
    </row>
    <row r="47" spans="1:31" ht="14.5" x14ac:dyDescent="0.35">
      <c r="A47" s="329">
        <v>45920</v>
      </c>
      <c r="B47" s="326">
        <v>18</v>
      </c>
      <c r="C47" s="354" t="s">
        <v>584</v>
      </c>
      <c r="D47" s="326">
        <v>7403</v>
      </c>
      <c r="E47" s="489" t="s">
        <v>588</v>
      </c>
      <c r="F47" s="454" t="s">
        <v>498</v>
      </c>
      <c r="G47" s="333">
        <v>13546</v>
      </c>
      <c r="H47" s="496">
        <v>13546</v>
      </c>
      <c r="I47" s="192">
        <f>H47/(D47+D48+D49)</f>
        <v>0.55746530657093818</v>
      </c>
      <c r="J47" s="333" t="s">
        <v>505</v>
      </c>
      <c r="K47" s="207">
        <v>676.2</v>
      </c>
      <c r="L47" s="198">
        <f>K47/(D47+D48+D49)</f>
        <v>2.7827996478906568E-2</v>
      </c>
      <c r="M47" s="200"/>
      <c r="N47" s="334" t="s">
        <v>480</v>
      </c>
      <c r="O47" s="331" t="s">
        <v>588</v>
      </c>
      <c r="P47" s="333">
        <f>17332-P40</f>
        <v>11137</v>
      </c>
      <c r="Q47" s="523">
        <f>(P47+P48)/(D47+D48+D49)</f>
        <v>0.56832983048461949</v>
      </c>
      <c r="R47" s="340">
        <v>250</v>
      </c>
      <c r="S47" s="201"/>
      <c r="T47" s="326">
        <v>3.38</v>
      </c>
      <c r="U47" s="326">
        <v>3.4</v>
      </c>
      <c r="V47" s="326"/>
      <c r="W47" s="204">
        <f>((AA47+AB47+AD47+AE47)*1000)/H47</f>
        <v>1.2771297800088588</v>
      </c>
      <c r="X47" s="189">
        <v>7.95</v>
      </c>
      <c r="Y47" s="333">
        <v>7.2</v>
      </c>
      <c r="Z47" s="204"/>
      <c r="AA47" s="327">
        <v>12.11</v>
      </c>
      <c r="AB47" s="361">
        <v>5.19</v>
      </c>
      <c r="AC47" s="326"/>
      <c r="AD47" s="327"/>
      <c r="AE47" s="327"/>
    </row>
    <row r="48" spans="1:31" ht="14.5" x14ac:dyDescent="0.35">
      <c r="A48" s="329">
        <v>45920</v>
      </c>
      <c r="B48" s="326">
        <v>19</v>
      </c>
      <c r="C48" s="354" t="s">
        <v>563</v>
      </c>
      <c r="D48" s="189">
        <v>8083.65</v>
      </c>
      <c r="E48" s="490"/>
      <c r="F48" s="456"/>
      <c r="G48" s="333"/>
      <c r="H48" s="498"/>
      <c r="I48" s="192"/>
      <c r="J48" s="333"/>
      <c r="K48" s="207"/>
      <c r="L48" s="198"/>
      <c r="M48" s="200"/>
      <c r="N48" s="488" t="s">
        <v>671</v>
      </c>
      <c r="O48" s="331" t="s">
        <v>585</v>
      </c>
      <c r="P48" s="333">
        <v>2673</v>
      </c>
      <c r="Q48" s="524"/>
      <c r="R48" s="340"/>
      <c r="S48" s="201"/>
      <c r="T48" s="326"/>
      <c r="U48" s="326"/>
      <c r="V48" s="326"/>
      <c r="W48" s="204"/>
      <c r="X48" s="189"/>
      <c r="Y48" s="333"/>
      <c r="Z48" s="204"/>
      <c r="AA48" s="327"/>
      <c r="AB48" s="361"/>
      <c r="AC48" s="326"/>
      <c r="AD48" s="327"/>
      <c r="AE48" s="327"/>
    </row>
    <row r="49" spans="1:31" ht="14.5" x14ac:dyDescent="0.35">
      <c r="A49" s="329">
        <v>45920</v>
      </c>
      <c r="B49" s="326">
        <v>21</v>
      </c>
      <c r="C49" s="326" t="s">
        <v>584</v>
      </c>
      <c r="D49" s="189">
        <v>8812.6200000000008</v>
      </c>
      <c r="E49" s="491"/>
      <c r="F49" s="455"/>
      <c r="G49" s="333"/>
      <c r="H49" s="497"/>
      <c r="I49" s="192"/>
      <c r="J49" s="333"/>
      <c r="K49" s="207"/>
      <c r="L49" s="198"/>
      <c r="M49" s="200"/>
      <c r="N49" s="437"/>
      <c r="O49" s="334" t="s">
        <v>927</v>
      </c>
      <c r="P49" s="355">
        <f>P47+P48</f>
        <v>13810</v>
      </c>
      <c r="Q49" s="525"/>
      <c r="R49" s="340"/>
      <c r="S49" s="201"/>
      <c r="T49" s="326"/>
      <c r="U49" s="326"/>
      <c r="V49" s="326"/>
      <c r="W49" s="204"/>
      <c r="X49" s="189"/>
      <c r="Y49" s="333"/>
      <c r="Z49" s="204"/>
      <c r="AA49" s="327"/>
      <c r="AB49" s="361"/>
      <c r="AC49" s="326"/>
      <c r="AD49" s="327"/>
      <c r="AE49" s="327"/>
    </row>
    <row r="50" spans="1:31" ht="26.5" customHeight="1" x14ac:dyDescent="0.35">
      <c r="A50" s="329">
        <v>45920</v>
      </c>
      <c r="B50" s="326">
        <v>17</v>
      </c>
      <c r="C50" s="326" t="s">
        <v>584</v>
      </c>
      <c r="D50" s="189">
        <v>7133.88</v>
      </c>
      <c r="E50" s="473" t="s">
        <v>585</v>
      </c>
      <c r="F50" s="471" t="s">
        <v>586</v>
      </c>
      <c r="G50" s="333">
        <v>3999</v>
      </c>
      <c r="H50" s="496">
        <v>6881</v>
      </c>
      <c r="I50" s="395">
        <f>H50/(D50+D51)</f>
        <v>0.58562300210725549</v>
      </c>
      <c r="J50" s="333" t="s">
        <v>505</v>
      </c>
      <c r="K50" s="207">
        <f>[1]PRENSAS!E32</f>
        <v>307</v>
      </c>
      <c r="L50" s="198">
        <f>K50/(D50+D51)</f>
        <v>2.6127926412865491E-2</v>
      </c>
      <c r="M50" s="200">
        <f>L50+I50</f>
        <v>0.61175092852012103</v>
      </c>
      <c r="N50" s="470" t="s">
        <v>928</v>
      </c>
      <c r="O50" s="331" t="s">
        <v>585</v>
      </c>
      <c r="P50" s="333">
        <f>P51-P45-P48</f>
        <v>6248</v>
      </c>
      <c r="Q50" s="344">
        <f>P50/(D50+D51)</f>
        <v>0.53175011149050033</v>
      </c>
      <c r="R50" s="340">
        <v>270</v>
      </c>
      <c r="S50" s="201"/>
      <c r="T50" s="326">
        <v>3.48</v>
      </c>
      <c r="U50" s="326"/>
      <c r="V50" s="326"/>
      <c r="W50" s="204">
        <f>((AA50+AB50+AD50+AE50)*1000)/H50</f>
        <v>3.3803226275250688</v>
      </c>
      <c r="X50" s="189">
        <v>8.25</v>
      </c>
      <c r="Y50" s="333"/>
      <c r="Z50" s="204"/>
      <c r="AA50" s="327">
        <v>4.8600000000000003</v>
      </c>
      <c r="AB50" s="361">
        <v>2.9</v>
      </c>
      <c r="AC50" s="326"/>
      <c r="AD50" s="327">
        <v>10.8</v>
      </c>
      <c r="AE50" s="327">
        <v>4.7</v>
      </c>
    </row>
    <row r="51" spans="1:31" ht="14.5" x14ac:dyDescent="0.35">
      <c r="A51" s="329">
        <v>45921</v>
      </c>
      <c r="B51" s="326">
        <v>11</v>
      </c>
      <c r="C51" s="326" t="s">
        <v>584</v>
      </c>
      <c r="D51" s="189">
        <v>4616</v>
      </c>
      <c r="E51" s="474"/>
      <c r="F51" s="472"/>
      <c r="G51" s="333">
        <v>6881</v>
      </c>
      <c r="H51" s="497"/>
      <c r="I51" s="397"/>
      <c r="J51" s="333" t="s">
        <v>929</v>
      </c>
      <c r="K51" s="207"/>
      <c r="L51" s="198"/>
      <c r="M51" s="200"/>
      <c r="N51" s="480"/>
      <c r="O51" s="334" t="s">
        <v>930</v>
      </c>
      <c r="P51" s="339">
        <v>15571</v>
      </c>
      <c r="Q51" s="344"/>
      <c r="R51" s="340"/>
      <c r="S51" s="201"/>
      <c r="T51" s="326"/>
      <c r="U51" s="326"/>
      <c r="V51" s="326"/>
      <c r="W51" s="204"/>
      <c r="X51" s="189"/>
      <c r="Y51" s="333"/>
      <c r="Z51" s="204"/>
      <c r="AA51" s="327"/>
      <c r="AB51" s="361"/>
      <c r="AC51" s="326"/>
      <c r="AD51" s="327"/>
      <c r="AE51" s="327"/>
    </row>
    <row r="52" spans="1:31" ht="14.5" x14ac:dyDescent="0.35">
      <c r="A52" s="329"/>
      <c r="B52" s="326"/>
      <c r="C52" s="326"/>
      <c r="D52" s="189"/>
      <c r="E52" s="338" t="s">
        <v>206</v>
      </c>
      <c r="F52" s="333" t="s">
        <v>505</v>
      </c>
      <c r="G52" s="333">
        <v>5933</v>
      </c>
      <c r="H52" s="366"/>
      <c r="I52" s="192"/>
      <c r="J52" s="333"/>
      <c r="K52" s="207"/>
      <c r="L52" s="198"/>
      <c r="M52" s="200"/>
      <c r="N52" s="334" t="s">
        <v>913</v>
      </c>
      <c r="O52" s="334" t="s">
        <v>577</v>
      </c>
      <c r="P52" s="333">
        <v>5733</v>
      </c>
      <c r="Q52" s="344"/>
      <c r="R52" s="340"/>
      <c r="S52" s="201"/>
      <c r="T52" s="326"/>
      <c r="U52" s="326"/>
      <c r="V52" s="326"/>
      <c r="W52" s="204" t="e">
        <f>((AA52+AB52+AD52+AE52)*1000)/H52</f>
        <v>#DIV/0!</v>
      </c>
      <c r="X52" s="189"/>
      <c r="Y52" s="333"/>
      <c r="Z52" s="204"/>
      <c r="AA52" s="327">
        <v>2.35</v>
      </c>
      <c r="AB52" s="361">
        <v>1</v>
      </c>
      <c r="AC52" s="326"/>
      <c r="AD52" s="327"/>
      <c r="AE52" s="327"/>
    </row>
    <row r="53" spans="1:31" ht="14.5" x14ac:dyDescent="0.35">
      <c r="A53" s="329">
        <v>45927</v>
      </c>
      <c r="B53" s="326">
        <v>18</v>
      </c>
      <c r="C53" s="326" t="s">
        <v>240</v>
      </c>
      <c r="D53" s="189">
        <v>7064</v>
      </c>
      <c r="E53" s="338" t="s">
        <v>614</v>
      </c>
      <c r="F53" s="333" t="s">
        <v>615</v>
      </c>
      <c r="G53" s="333">
        <v>4404</v>
      </c>
      <c r="H53" s="366">
        <v>4404</v>
      </c>
      <c r="I53" s="192">
        <f>H53/D53</f>
        <v>0.6234428086070215</v>
      </c>
      <c r="J53" s="333" t="s">
        <v>569</v>
      </c>
      <c r="K53" s="207">
        <v>400</v>
      </c>
      <c r="L53" s="198">
        <f>K53/D53</f>
        <v>5.6625141562853906E-2</v>
      </c>
      <c r="M53" s="200">
        <f>L53+I53</f>
        <v>0.68006795016987542</v>
      </c>
      <c r="N53" s="334" t="s">
        <v>615</v>
      </c>
      <c r="O53" s="334" t="s">
        <v>614</v>
      </c>
      <c r="P53" s="333">
        <v>4253</v>
      </c>
      <c r="Q53" s="344">
        <f>P53/D53</f>
        <v>0.60206681766704417</v>
      </c>
      <c r="R53" s="340">
        <f>H53-P53</f>
        <v>151</v>
      </c>
      <c r="S53" s="345">
        <f>R53/(D53)</f>
        <v>2.137599093997735E-2</v>
      </c>
      <c r="T53" s="326">
        <v>3.58</v>
      </c>
      <c r="U53" s="326"/>
      <c r="V53" s="326"/>
      <c r="W53" s="204">
        <f>((AA53+AB53+AD53+AE53)*1000)/H53</f>
        <v>3.8555858310626703</v>
      </c>
      <c r="X53" s="189">
        <v>5.4</v>
      </c>
      <c r="Y53" s="333"/>
      <c r="Z53" s="204"/>
      <c r="AA53" s="327">
        <v>5</v>
      </c>
      <c r="AB53" s="361"/>
      <c r="AC53" s="326"/>
      <c r="AD53" s="327">
        <v>8.39</v>
      </c>
      <c r="AE53" s="327">
        <v>3.59</v>
      </c>
    </row>
    <row r="54" spans="1:31" ht="14.5" x14ac:dyDescent="0.35">
      <c r="A54" s="329">
        <v>45927</v>
      </c>
      <c r="B54" s="326">
        <v>48</v>
      </c>
      <c r="C54" s="326" t="s">
        <v>931</v>
      </c>
      <c r="D54" s="189">
        <v>20466.5</v>
      </c>
      <c r="E54" s="338" t="s">
        <v>631</v>
      </c>
      <c r="F54" s="333" t="s">
        <v>586</v>
      </c>
      <c r="G54" s="333">
        <v>12399</v>
      </c>
      <c r="H54" s="366">
        <f>G54</f>
        <v>12399</v>
      </c>
      <c r="I54" s="192">
        <f>G54/(D54+D55)</f>
        <v>0.59027397586346431</v>
      </c>
      <c r="J54" s="333" t="s">
        <v>569</v>
      </c>
      <c r="K54" s="207">
        <v>771</v>
      </c>
      <c r="L54" s="198">
        <f>(K54+K55)/(D54+D55)</f>
        <v>6.3840422746423556E-2</v>
      </c>
      <c r="M54" s="200"/>
      <c r="N54" s="334" t="s">
        <v>543</v>
      </c>
      <c r="O54" s="334" t="s">
        <v>631</v>
      </c>
      <c r="P54" s="333">
        <f>11571</f>
        <v>11571</v>
      </c>
      <c r="Q54" s="344">
        <f>P54/(D54+D55)</f>
        <v>0.55085572826164575</v>
      </c>
      <c r="R54" s="340">
        <f>H54-P54</f>
        <v>828</v>
      </c>
      <c r="S54" s="345">
        <f>R54/(D54+D55)</f>
        <v>3.9418247601818571E-2</v>
      </c>
      <c r="T54" s="326">
        <v>3.53</v>
      </c>
      <c r="U54" s="326">
        <v>3.47</v>
      </c>
      <c r="V54" s="326"/>
      <c r="W54" s="204">
        <f>((AA54+AB54+AD54+AE54)*1000)/H54</f>
        <v>3.1036373901121057</v>
      </c>
      <c r="X54" s="189">
        <v>5.4</v>
      </c>
      <c r="Y54" s="333"/>
      <c r="Z54" s="204"/>
      <c r="AA54" s="327">
        <v>10.85</v>
      </c>
      <c r="AB54" s="361">
        <v>4.49</v>
      </c>
      <c r="AC54" s="326"/>
      <c r="AD54" s="327">
        <v>16.2</v>
      </c>
      <c r="AE54" s="327">
        <v>6.9420000000000002</v>
      </c>
    </row>
    <row r="55" spans="1:31" ht="14.5" x14ac:dyDescent="0.35">
      <c r="A55" s="329"/>
      <c r="B55" s="326">
        <v>1</v>
      </c>
      <c r="C55" s="326" t="s">
        <v>322</v>
      </c>
      <c r="D55" s="189">
        <v>539</v>
      </c>
      <c r="E55" s="338"/>
      <c r="F55" s="333"/>
      <c r="G55" s="333"/>
      <c r="H55" s="366"/>
      <c r="I55" s="192"/>
      <c r="J55" s="333" t="s">
        <v>932</v>
      </c>
      <c r="K55" s="207">
        <v>570</v>
      </c>
      <c r="L55" s="198"/>
      <c r="M55" s="200"/>
      <c r="N55" s="334"/>
      <c r="O55" s="334"/>
      <c r="P55" s="333"/>
      <c r="Q55" s="344"/>
      <c r="R55" s="340"/>
      <c r="S55" s="201"/>
      <c r="T55" s="326"/>
      <c r="U55" s="326"/>
      <c r="V55" s="326"/>
      <c r="W55" s="204"/>
      <c r="X55" s="189"/>
      <c r="Y55" s="333"/>
      <c r="Z55" s="204"/>
      <c r="AA55" s="327"/>
      <c r="AB55" s="361"/>
      <c r="AC55" s="326"/>
      <c r="AD55" s="327"/>
      <c r="AE55" s="327"/>
    </row>
    <row r="56" spans="1:31" ht="14.5" x14ac:dyDescent="0.35">
      <c r="A56" s="329">
        <v>45929</v>
      </c>
      <c r="B56" s="326">
        <v>23</v>
      </c>
      <c r="C56" s="326" t="s">
        <v>933</v>
      </c>
      <c r="D56" s="189">
        <v>10536.5</v>
      </c>
      <c r="E56" s="338" t="s">
        <v>637</v>
      </c>
      <c r="F56" s="333" t="s">
        <v>517</v>
      </c>
      <c r="G56" s="333">
        <v>6872</v>
      </c>
      <c r="H56" s="366">
        <v>6872</v>
      </c>
      <c r="I56" s="192">
        <f>H56/D56</f>
        <v>0.65220898780429937</v>
      </c>
      <c r="J56" s="333" t="s">
        <v>932</v>
      </c>
      <c r="K56" s="207"/>
      <c r="L56" s="198"/>
      <c r="M56" s="200"/>
      <c r="N56" s="334" t="s">
        <v>522</v>
      </c>
      <c r="O56" s="334" t="s">
        <v>637</v>
      </c>
      <c r="P56" s="333">
        <v>6572</v>
      </c>
      <c r="Q56" s="344">
        <f>P56/D56</f>
        <v>0.62373653490248182</v>
      </c>
      <c r="R56" s="340">
        <f>H56-P56</f>
        <v>300</v>
      </c>
      <c r="S56" s="345">
        <f>R56/D56</f>
        <v>2.8472452901817491E-2</v>
      </c>
      <c r="T56" s="326">
        <v>3.69</v>
      </c>
      <c r="U56" s="326">
        <v>3.48</v>
      </c>
      <c r="V56" s="326">
        <v>3.32</v>
      </c>
      <c r="W56" s="204">
        <f>((AA56+AB56+AD56+AE56)*1000)/H56</f>
        <v>6.8218859138533166</v>
      </c>
      <c r="X56" s="189">
        <v>6.15</v>
      </c>
      <c r="Y56" s="333">
        <v>7.35</v>
      </c>
      <c r="Z56" s="204">
        <v>9.4499999999999993</v>
      </c>
      <c r="AA56" s="327">
        <v>23.62</v>
      </c>
      <c r="AB56" s="361">
        <v>10.119999999999999</v>
      </c>
      <c r="AC56" s="326"/>
      <c r="AD56" s="327">
        <v>9.1999999999999993</v>
      </c>
      <c r="AE56" s="327">
        <v>3.94</v>
      </c>
    </row>
    <row r="57" spans="1:31" ht="14.5" x14ac:dyDescent="0.35">
      <c r="A57" s="329"/>
      <c r="B57" s="326"/>
      <c r="C57" s="326"/>
      <c r="D57" s="189"/>
      <c r="E57" s="338" t="s">
        <v>639</v>
      </c>
      <c r="F57" s="333" t="s">
        <v>932</v>
      </c>
      <c r="G57" s="333"/>
      <c r="H57" s="366"/>
      <c r="I57" s="192"/>
      <c r="J57" s="333"/>
      <c r="K57" s="207"/>
      <c r="L57" s="198"/>
      <c r="M57" s="200"/>
      <c r="N57" s="334" t="s">
        <v>934</v>
      </c>
      <c r="O57" s="334" t="s">
        <v>639</v>
      </c>
      <c r="P57" s="333"/>
      <c r="Q57" s="344"/>
      <c r="R57" s="340"/>
      <c r="S57" s="201"/>
      <c r="T57" s="326">
        <v>4.22</v>
      </c>
      <c r="U57" s="326">
        <v>3.75</v>
      </c>
      <c r="V57" s="326">
        <v>3.51</v>
      </c>
      <c r="W57" s="204" t="e">
        <f>((AA57+AB57+AD57+AE57)*1000)/H57</f>
        <v>#DIV/0!</v>
      </c>
      <c r="X57" s="189">
        <v>3.45</v>
      </c>
      <c r="Y57" s="333">
        <v>5.4</v>
      </c>
      <c r="Z57" s="204">
        <v>6.9</v>
      </c>
      <c r="AA57" s="327">
        <v>0.97599999999999998</v>
      </c>
      <c r="AB57" s="361">
        <v>0.41799999999999998</v>
      </c>
      <c r="AC57" s="326"/>
      <c r="AD57" s="327"/>
      <c r="AE57" s="327"/>
    </row>
    <row r="58" spans="1:31" ht="26.5" customHeight="1" x14ac:dyDescent="0.35">
      <c r="A58" s="329">
        <v>45931</v>
      </c>
      <c r="B58" s="326">
        <v>15</v>
      </c>
      <c r="C58" s="326" t="s">
        <v>646</v>
      </c>
      <c r="D58" s="189">
        <v>5259</v>
      </c>
      <c r="E58" s="489" t="s">
        <v>647</v>
      </c>
      <c r="F58" s="454" t="s">
        <v>459</v>
      </c>
      <c r="G58" s="333">
        <v>4983</v>
      </c>
      <c r="H58" s="496">
        <f>G59</f>
        <v>9768</v>
      </c>
      <c r="I58" s="395">
        <f>H58/(D58+D59+D60+D61)</f>
        <v>0.65851389431957608</v>
      </c>
      <c r="J58" s="454" t="s">
        <v>935</v>
      </c>
      <c r="K58" s="493">
        <v>750</v>
      </c>
      <c r="L58" s="426">
        <f>K58/(D58+D59+D60+D61)</f>
        <v>5.0561570509795463E-2</v>
      </c>
      <c r="M58" s="422">
        <f>L58+I58</f>
        <v>0.70907546482937156</v>
      </c>
      <c r="N58" s="470" t="s">
        <v>936</v>
      </c>
      <c r="O58" s="488" t="s">
        <v>647</v>
      </c>
      <c r="P58" s="501">
        <v>9198</v>
      </c>
      <c r="Q58" s="464">
        <f>P58/(D58+D59+D60+D61)</f>
        <v>0.62008710073213158</v>
      </c>
      <c r="R58" s="340">
        <v>1000</v>
      </c>
      <c r="S58" s="345">
        <f>R58/(D58+D59+D60+D61)</f>
        <v>6.7415427346393955E-2</v>
      </c>
      <c r="T58" s="507">
        <v>3.68</v>
      </c>
      <c r="U58" s="507">
        <v>3.4</v>
      </c>
      <c r="V58" s="507">
        <v>3.21</v>
      </c>
      <c r="W58" s="515">
        <f>(((AA58+AB58)*1000)/H58)+(((AD58+AE58)*1000)/H58)</f>
        <v>2.4283374283374286</v>
      </c>
      <c r="X58" s="518">
        <v>4.5</v>
      </c>
      <c r="Y58" s="454">
        <v>6.15</v>
      </c>
      <c r="Z58" s="515">
        <v>7.5</v>
      </c>
      <c r="AA58" s="327">
        <v>6.97</v>
      </c>
      <c r="AB58" s="361">
        <v>2.97</v>
      </c>
      <c r="AC58" s="326"/>
      <c r="AD58" s="327">
        <v>9.65</v>
      </c>
      <c r="AE58" s="327">
        <v>4.13</v>
      </c>
    </row>
    <row r="59" spans="1:31" ht="14.5" x14ac:dyDescent="0.35">
      <c r="A59" s="329">
        <v>45931</v>
      </c>
      <c r="B59" s="326">
        <v>6</v>
      </c>
      <c r="C59" s="326" t="s">
        <v>355</v>
      </c>
      <c r="D59" s="189">
        <v>2119.5</v>
      </c>
      <c r="E59" s="490"/>
      <c r="F59" s="456"/>
      <c r="G59" s="333">
        <v>9768</v>
      </c>
      <c r="H59" s="498"/>
      <c r="I59" s="396"/>
      <c r="J59" s="456"/>
      <c r="K59" s="494"/>
      <c r="L59" s="500"/>
      <c r="M59" s="447"/>
      <c r="N59" s="479"/>
      <c r="O59" s="436"/>
      <c r="P59" s="502"/>
      <c r="Q59" s="492"/>
      <c r="R59" s="340"/>
      <c r="S59" s="201"/>
      <c r="T59" s="508"/>
      <c r="U59" s="508"/>
      <c r="V59" s="508"/>
      <c r="W59" s="516"/>
      <c r="X59" s="519"/>
      <c r="Y59" s="456"/>
      <c r="Z59" s="516"/>
      <c r="AA59" s="327"/>
      <c r="AB59" s="361"/>
      <c r="AC59" s="326"/>
      <c r="AD59" s="327"/>
      <c r="AE59" s="327"/>
    </row>
    <row r="60" spans="1:31" ht="14.5" x14ac:dyDescent="0.35">
      <c r="A60" s="329">
        <v>45931</v>
      </c>
      <c r="B60" s="326">
        <v>6</v>
      </c>
      <c r="C60" s="326" t="s">
        <v>355</v>
      </c>
      <c r="D60" s="189">
        <v>2142.5</v>
      </c>
      <c r="E60" s="490"/>
      <c r="F60" s="456"/>
      <c r="G60" s="333"/>
      <c r="H60" s="498"/>
      <c r="I60" s="396"/>
      <c r="J60" s="456"/>
      <c r="K60" s="494"/>
      <c r="L60" s="500"/>
      <c r="M60" s="447"/>
      <c r="N60" s="479"/>
      <c r="O60" s="436"/>
      <c r="P60" s="502"/>
      <c r="Q60" s="492"/>
      <c r="R60" s="340"/>
      <c r="S60" s="201"/>
      <c r="T60" s="508"/>
      <c r="U60" s="508"/>
      <c r="V60" s="508"/>
      <c r="W60" s="516"/>
      <c r="X60" s="519"/>
      <c r="Y60" s="456"/>
      <c r="Z60" s="516"/>
      <c r="AA60" s="327"/>
      <c r="AB60" s="361"/>
      <c r="AC60" s="326"/>
      <c r="AD60" s="327"/>
      <c r="AE60" s="327"/>
    </row>
    <row r="61" spans="1:31" ht="14.5" x14ac:dyDescent="0.35">
      <c r="A61" s="329">
        <v>45931</v>
      </c>
      <c r="B61" s="326">
        <v>14</v>
      </c>
      <c r="C61" s="326" t="s">
        <v>359</v>
      </c>
      <c r="D61" s="279">
        <v>5312.4</v>
      </c>
      <c r="E61" s="491"/>
      <c r="F61" s="455"/>
      <c r="G61" s="333"/>
      <c r="H61" s="497"/>
      <c r="I61" s="397"/>
      <c r="J61" s="455"/>
      <c r="K61" s="495"/>
      <c r="L61" s="427"/>
      <c r="M61" s="423"/>
      <c r="N61" s="480"/>
      <c r="O61" s="437"/>
      <c r="P61" s="503"/>
      <c r="Q61" s="465"/>
      <c r="R61" s="340"/>
      <c r="S61" s="201"/>
      <c r="T61" s="509"/>
      <c r="U61" s="509"/>
      <c r="V61" s="509"/>
      <c r="W61" s="517"/>
      <c r="X61" s="520"/>
      <c r="Y61" s="455"/>
      <c r="Z61" s="517"/>
      <c r="AA61" s="327"/>
      <c r="AB61" s="361"/>
      <c r="AC61" s="326"/>
      <c r="AD61" s="327"/>
      <c r="AE61" s="327"/>
    </row>
    <row r="62" spans="1:31" ht="14.5" x14ac:dyDescent="0.35">
      <c r="A62" s="329">
        <v>45933</v>
      </c>
      <c r="B62" s="326">
        <v>9</v>
      </c>
      <c r="C62" s="326" t="s">
        <v>359</v>
      </c>
      <c r="D62" s="189">
        <v>3187.6</v>
      </c>
      <c r="E62" s="473" t="s">
        <v>652</v>
      </c>
      <c r="F62" s="454" t="s">
        <v>601</v>
      </c>
      <c r="G62" s="333">
        <v>3354</v>
      </c>
      <c r="H62" s="496">
        <f>G65</f>
        <v>16214</v>
      </c>
      <c r="I62" s="395">
        <f>H62/(D62+D63+D64+D65)</f>
        <v>0.65455308807440937</v>
      </c>
      <c r="J62" s="454" t="s">
        <v>517</v>
      </c>
      <c r="K62" s="207">
        <v>234</v>
      </c>
      <c r="L62" s="426">
        <f>K65/(D62+D63+D64+D65)</f>
        <v>5.789004121738639E-2</v>
      </c>
      <c r="M62" s="422">
        <f>L62+I62</f>
        <v>0.71244312929179576</v>
      </c>
      <c r="N62" s="488" t="s">
        <v>596</v>
      </c>
      <c r="O62" s="488" t="s">
        <v>652</v>
      </c>
      <c r="P62" s="471">
        <v>13900</v>
      </c>
      <c r="Q62" s="512">
        <f>P62/(D62+D63+D64+D65)</f>
        <v>0.56113777749070493</v>
      </c>
      <c r="R62" s="340"/>
      <c r="S62" s="201"/>
      <c r="T62" s="507">
        <v>3.7</v>
      </c>
      <c r="U62" s="507">
        <v>3.66</v>
      </c>
      <c r="V62" s="507">
        <v>3.26</v>
      </c>
      <c r="W62" s="515">
        <f>(((AA62+AB62)*1000)/H62)+((AD62*1000)/H62)</f>
        <v>1.7478722092019241</v>
      </c>
      <c r="X62" s="518">
        <v>4.6500000000000004</v>
      </c>
      <c r="Y62" s="454">
        <v>5.25</v>
      </c>
      <c r="Z62" s="504">
        <v>7.5</v>
      </c>
      <c r="AA62" s="327">
        <v>2.8</v>
      </c>
      <c r="AB62" s="361">
        <v>1.23</v>
      </c>
      <c r="AC62" s="326"/>
      <c r="AD62" s="327">
        <v>24.31</v>
      </c>
      <c r="AE62" s="327"/>
    </row>
    <row r="63" spans="1:31" ht="14.5" x14ac:dyDescent="0.35">
      <c r="A63" s="329">
        <v>45933</v>
      </c>
      <c r="B63" s="326">
        <v>15</v>
      </c>
      <c r="C63" s="326" t="s">
        <v>361</v>
      </c>
      <c r="D63" s="189">
        <v>4932</v>
      </c>
      <c r="E63" s="476"/>
      <c r="F63" s="456"/>
      <c r="G63" s="333">
        <v>7996</v>
      </c>
      <c r="H63" s="498"/>
      <c r="I63" s="396"/>
      <c r="J63" s="456"/>
      <c r="K63" s="207">
        <v>567</v>
      </c>
      <c r="L63" s="500"/>
      <c r="M63" s="447"/>
      <c r="N63" s="436"/>
      <c r="O63" s="436"/>
      <c r="P63" s="477"/>
      <c r="Q63" s="513"/>
      <c r="R63" s="340"/>
      <c r="S63" s="201"/>
      <c r="T63" s="508"/>
      <c r="U63" s="508"/>
      <c r="V63" s="508"/>
      <c r="W63" s="516"/>
      <c r="X63" s="519"/>
      <c r="Y63" s="456"/>
      <c r="Z63" s="505"/>
      <c r="AA63" s="326">
        <v>6.53</v>
      </c>
      <c r="AB63" s="337">
        <v>2.8</v>
      </c>
      <c r="AC63" s="326"/>
      <c r="AD63" s="327">
        <v>33.299999999999997</v>
      </c>
      <c r="AE63" s="327"/>
    </row>
    <row r="64" spans="1:31" ht="14.5" x14ac:dyDescent="0.35">
      <c r="A64" s="329">
        <v>45933</v>
      </c>
      <c r="B64" s="326">
        <v>24</v>
      </c>
      <c r="C64" s="326" t="s">
        <v>359</v>
      </c>
      <c r="D64" s="189">
        <v>8205.5</v>
      </c>
      <c r="E64" s="476"/>
      <c r="F64" s="456"/>
      <c r="G64" s="333">
        <v>12781</v>
      </c>
      <c r="H64" s="498"/>
      <c r="I64" s="396"/>
      <c r="J64" s="456"/>
      <c r="K64" s="207">
        <v>934</v>
      </c>
      <c r="L64" s="500"/>
      <c r="M64" s="447"/>
      <c r="N64" s="436"/>
      <c r="O64" s="436"/>
      <c r="P64" s="477"/>
      <c r="Q64" s="513"/>
      <c r="R64" s="340"/>
      <c r="S64" s="201"/>
      <c r="T64" s="508"/>
      <c r="U64" s="508"/>
      <c r="V64" s="508"/>
      <c r="W64" s="516"/>
      <c r="X64" s="519"/>
      <c r="Y64" s="456"/>
      <c r="Z64" s="505"/>
      <c r="AA64" s="326">
        <v>6.7</v>
      </c>
      <c r="AB64" s="337">
        <v>2.98</v>
      </c>
      <c r="AC64" s="326"/>
      <c r="AD64" s="327"/>
      <c r="AE64" s="327"/>
    </row>
    <row r="65" spans="1:31" ht="14.5" x14ac:dyDescent="0.35">
      <c r="A65" s="329">
        <v>45933</v>
      </c>
      <c r="B65" s="326">
        <v>25</v>
      </c>
      <c r="C65" s="326" t="s">
        <v>361</v>
      </c>
      <c r="D65" s="189">
        <v>8446</v>
      </c>
      <c r="E65" s="474"/>
      <c r="F65" s="455"/>
      <c r="G65" s="333">
        <v>16214</v>
      </c>
      <c r="H65" s="497"/>
      <c r="I65" s="397"/>
      <c r="J65" s="455"/>
      <c r="K65" s="207">
        <v>1434</v>
      </c>
      <c r="L65" s="427"/>
      <c r="M65" s="423"/>
      <c r="N65" s="437"/>
      <c r="O65" s="437"/>
      <c r="P65" s="472"/>
      <c r="Q65" s="514"/>
      <c r="R65" s="340"/>
      <c r="S65" s="201"/>
      <c r="T65" s="509"/>
      <c r="U65" s="509"/>
      <c r="V65" s="509"/>
      <c r="W65" s="517"/>
      <c r="X65" s="520"/>
      <c r="Y65" s="455"/>
      <c r="Z65" s="506"/>
      <c r="AA65" s="326">
        <v>3.4</v>
      </c>
      <c r="AB65" s="337">
        <v>1.46</v>
      </c>
      <c r="AC65" s="326"/>
      <c r="AD65" s="327"/>
      <c r="AE65" s="327"/>
    </row>
    <row r="66" spans="1:31" ht="14.5" x14ac:dyDescent="0.35">
      <c r="A66" s="329"/>
      <c r="B66" s="326"/>
      <c r="C66" s="326"/>
      <c r="D66" s="189">
        <f>SUM(D4:D65)</f>
        <v>374097.22</v>
      </c>
      <c r="E66" s="339"/>
      <c r="F66" s="333"/>
      <c r="G66" s="333"/>
      <c r="H66" s="366"/>
      <c r="I66" s="192"/>
      <c r="J66" s="333"/>
      <c r="K66" s="207"/>
      <c r="L66" s="198"/>
      <c r="M66" s="200"/>
      <c r="N66" s="334"/>
      <c r="O66" s="334"/>
      <c r="P66" s="333"/>
      <c r="Q66" s="344"/>
      <c r="R66" s="340"/>
      <c r="S66" s="201"/>
      <c r="T66" s="326"/>
      <c r="U66" s="326"/>
      <c r="V66" s="326"/>
      <c r="W66" s="204"/>
      <c r="X66" s="189"/>
      <c r="Y66" s="333"/>
      <c r="Z66" s="204"/>
      <c r="AA66" s="326"/>
      <c r="AB66" s="337"/>
      <c r="AC66" s="326"/>
      <c r="AD66" s="326"/>
      <c r="AE66" s="326"/>
    </row>
    <row r="67" spans="1:31" ht="14.5" x14ac:dyDescent="0.35">
      <c r="H67" s="369"/>
      <c r="I67" s="129"/>
      <c r="L67" s="134"/>
      <c r="M67" s="136"/>
    </row>
    <row r="68" spans="1:31" ht="14.5" x14ac:dyDescent="0.35">
      <c r="H68" s="369"/>
      <c r="I68" s="129"/>
      <c r="L68" s="134"/>
      <c r="M68" s="136"/>
    </row>
    <row r="69" spans="1:31" ht="14.5" x14ac:dyDescent="0.35">
      <c r="H69" s="369"/>
      <c r="I69" s="129"/>
      <c r="L69" s="134"/>
      <c r="M69" s="136"/>
    </row>
    <row r="70" spans="1:31" ht="14.5" x14ac:dyDescent="0.35">
      <c r="H70" s="369"/>
      <c r="I70" s="129"/>
      <c r="L70" s="134"/>
      <c r="M70" s="136"/>
    </row>
    <row r="71" spans="1:31" ht="14.5" x14ac:dyDescent="0.35">
      <c r="H71" s="369"/>
      <c r="I71" s="129"/>
      <c r="L71" s="134"/>
      <c r="M71" s="136"/>
    </row>
    <row r="72" spans="1:31" ht="14.5" x14ac:dyDescent="0.35">
      <c r="H72" s="369"/>
      <c r="I72" s="129"/>
      <c r="L72" s="134"/>
      <c r="M72" s="136"/>
    </row>
    <row r="73" spans="1:31" ht="14.5" x14ac:dyDescent="0.35">
      <c r="H73" s="369"/>
      <c r="I73" s="129"/>
      <c r="L73" s="134"/>
      <c r="M73" s="136"/>
    </row>
    <row r="74" spans="1:31" ht="14.5" x14ac:dyDescent="0.35">
      <c r="H74" s="369"/>
      <c r="I74" s="129"/>
      <c r="L74" s="134"/>
      <c r="M74" s="136"/>
    </row>
    <row r="75" spans="1:31" ht="14.5" x14ac:dyDescent="0.35">
      <c r="H75" s="369"/>
      <c r="I75" s="129"/>
      <c r="L75" s="134"/>
      <c r="M75" s="136"/>
    </row>
    <row r="76" spans="1:31" ht="14.5" x14ac:dyDescent="0.35">
      <c r="H76" s="369"/>
      <c r="I76" s="129"/>
      <c r="L76" s="134"/>
      <c r="M76" s="136"/>
    </row>
    <row r="77" spans="1:31" ht="14.5" x14ac:dyDescent="0.35">
      <c r="H77" s="369"/>
      <c r="I77" s="129"/>
      <c r="L77" s="134"/>
      <c r="M77" s="136"/>
    </row>
    <row r="78" spans="1:31" ht="14.5" x14ac:dyDescent="0.35">
      <c r="H78" s="369"/>
      <c r="I78" s="129"/>
      <c r="L78" s="134"/>
      <c r="M78" s="136"/>
    </row>
    <row r="79" spans="1:31" ht="14.5" x14ac:dyDescent="0.35">
      <c r="H79" s="369"/>
      <c r="I79" s="129"/>
      <c r="L79" s="134"/>
      <c r="M79" s="136"/>
    </row>
    <row r="80" spans="1:31" ht="14.5" x14ac:dyDescent="0.35">
      <c r="H80" s="369"/>
      <c r="I80" s="129"/>
      <c r="L80" s="134"/>
      <c r="M80" s="136"/>
    </row>
    <row r="81" spans="8:13" ht="14.5" x14ac:dyDescent="0.35">
      <c r="H81" s="369"/>
      <c r="I81" s="129"/>
      <c r="L81" s="134"/>
      <c r="M81" s="136"/>
    </row>
    <row r="82" spans="8:13" ht="14.5" x14ac:dyDescent="0.35">
      <c r="H82" s="369"/>
      <c r="I82" s="129"/>
      <c r="L82" s="134"/>
      <c r="M82" s="136"/>
    </row>
    <row r="83" spans="8:13" ht="14.5" x14ac:dyDescent="0.35">
      <c r="H83" s="369"/>
      <c r="I83" s="129"/>
      <c r="L83" s="134"/>
      <c r="M83" s="136"/>
    </row>
    <row r="84" spans="8:13" ht="14.5" x14ac:dyDescent="0.35">
      <c r="H84" s="369"/>
      <c r="I84" s="129"/>
      <c r="L84" s="134"/>
      <c r="M84" s="136"/>
    </row>
    <row r="85" spans="8:13" ht="14.5" x14ac:dyDescent="0.35">
      <c r="H85" s="369"/>
      <c r="I85" s="129"/>
      <c r="L85" s="134"/>
      <c r="M85" s="136"/>
    </row>
    <row r="86" spans="8:13" ht="14.5" x14ac:dyDescent="0.35">
      <c r="H86" s="369"/>
      <c r="I86" s="129"/>
      <c r="L86" s="134"/>
      <c r="M86" s="136"/>
    </row>
    <row r="87" spans="8:13" ht="14.5" x14ac:dyDescent="0.35">
      <c r="H87" s="369"/>
      <c r="I87" s="129"/>
      <c r="L87" s="134"/>
      <c r="M87" s="136"/>
    </row>
    <row r="88" spans="8:13" ht="14.5" x14ac:dyDescent="0.35">
      <c r="H88" s="369"/>
      <c r="I88" s="129"/>
      <c r="L88" s="134"/>
      <c r="M88" s="136"/>
    </row>
    <row r="89" spans="8:13" ht="14.5" x14ac:dyDescent="0.35">
      <c r="H89" s="369"/>
      <c r="I89" s="129"/>
      <c r="L89" s="134"/>
      <c r="M89" s="136"/>
    </row>
    <row r="90" spans="8:13" ht="14.5" x14ac:dyDescent="0.35">
      <c r="H90" s="369"/>
      <c r="I90" s="129"/>
      <c r="L90" s="134"/>
      <c r="M90" s="136"/>
    </row>
    <row r="91" spans="8:13" ht="14.5" x14ac:dyDescent="0.35">
      <c r="H91" s="369"/>
      <c r="I91" s="129"/>
      <c r="L91" s="134"/>
      <c r="M91" s="136"/>
    </row>
    <row r="92" spans="8:13" ht="14.5" x14ac:dyDescent="0.35">
      <c r="H92" s="369"/>
      <c r="I92" s="129"/>
      <c r="L92" s="134"/>
      <c r="M92" s="136"/>
    </row>
    <row r="93" spans="8:13" ht="14.5" x14ac:dyDescent="0.35">
      <c r="H93" s="369"/>
      <c r="I93" s="129"/>
      <c r="L93" s="134"/>
      <c r="M93" s="136"/>
    </row>
    <row r="94" spans="8:13" ht="14.5" x14ac:dyDescent="0.35">
      <c r="H94" s="369"/>
      <c r="I94" s="129"/>
      <c r="L94" s="134"/>
      <c r="M94" s="136"/>
    </row>
    <row r="95" spans="8:13" ht="14.5" x14ac:dyDescent="0.35">
      <c r="H95" s="369"/>
      <c r="I95" s="129"/>
      <c r="L95" s="134"/>
      <c r="M95" s="136"/>
    </row>
    <row r="96" spans="8:13" ht="14.5" x14ac:dyDescent="0.35">
      <c r="H96" s="369"/>
      <c r="I96" s="129"/>
      <c r="L96" s="134"/>
      <c r="M96" s="136"/>
    </row>
    <row r="97" spans="8:13" ht="14.5" x14ac:dyDescent="0.35">
      <c r="H97" s="369"/>
      <c r="I97" s="129"/>
      <c r="L97" s="134"/>
      <c r="M97" s="136"/>
    </row>
    <row r="98" spans="8:13" ht="14.5" x14ac:dyDescent="0.35">
      <c r="H98" s="369"/>
      <c r="I98" s="129"/>
      <c r="L98" s="134"/>
      <c r="M98" s="136"/>
    </row>
    <row r="99" spans="8:13" ht="14.5" x14ac:dyDescent="0.35">
      <c r="H99" s="369"/>
      <c r="I99" s="129"/>
      <c r="L99" s="134"/>
      <c r="M99" s="136"/>
    </row>
    <row r="100" spans="8:13" ht="14.5" x14ac:dyDescent="0.35">
      <c r="H100" s="369"/>
      <c r="I100" s="129"/>
      <c r="L100" s="134"/>
      <c r="M100" s="136"/>
    </row>
    <row r="101" spans="8:13" ht="14.5" x14ac:dyDescent="0.35">
      <c r="H101" s="369"/>
      <c r="I101" s="129"/>
      <c r="L101" s="134"/>
      <c r="M101" s="136"/>
    </row>
    <row r="102" spans="8:13" ht="14.5" x14ac:dyDescent="0.35">
      <c r="H102" s="369"/>
      <c r="I102" s="129"/>
      <c r="L102" s="134"/>
      <c r="M102" s="136"/>
    </row>
    <row r="103" spans="8:13" ht="14.5" x14ac:dyDescent="0.35">
      <c r="H103" s="369"/>
      <c r="I103" s="129"/>
      <c r="L103" s="134"/>
      <c r="M103" s="136"/>
    </row>
    <row r="104" spans="8:13" ht="14.5" x14ac:dyDescent="0.35">
      <c r="H104" s="369"/>
      <c r="I104" s="129"/>
      <c r="L104" s="134"/>
      <c r="M104" s="136"/>
    </row>
    <row r="105" spans="8:13" ht="14.5" x14ac:dyDescent="0.35">
      <c r="H105" s="369"/>
      <c r="I105" s="129"/>
      <c r="L105" s="134"/>
      <c r="M105" s="136"/>
    </row>
    <row r="106" spans="8:13" ht="14.5" x14ac:dyDescent="0.35">
      <c r="H106" s="369"/>
      <c r="I106" s="129"/>
      <c r="L106" s="134"/>
      <c r="M106" s="136"/>
    </row>
    <row r="107" spans="8:13" ht="14.5" x14ac:dyDescent="0.35">
      <c r="H107" s="369"/>
      <c r="I107" s="129"/>
      <c r="L107" s="134"/>
      <c r="M107" s="136"/>
    </row>
    <row r="108" spans="8:13" ht="14.5" x14ac:dyDescent="0.35">
      <c r="H108" s="369"/>
      <c r="I108" s="129"/>
      <c r="L108" s="134"/>
      <c r="M108" s="136"/>
    </row>
    <row r="109" spans="8:13" ht="14.5" x14ac:dyDescent="0.35">
      <c r="H109" s="369"/>
      <c r="I109" s="129"/>
      <c r="L109" s="134"/>
      <c r="M109" s="136"/>
    </row>
    <row r="110" spans="8:13" ht="14.5" x14ac:dyDescent="0.35">
      <c r="H110" s="369"/>
      <c r="I110" s="129"/>
      <c r="L110" s="134"/>
      <c r="M110" s="136"/>
    </row>
    <row r="111" spans="8:13" ht="14.5" x14ac:dyDescent="0.35">
      <c r="H111" s="369"/>
      <c r="I111" s="129"/>
      <c r="L111" s="134"/>
      <c r="M111" s="136"/>
    </row>
    <row r="112" spans="8:13" ht="14.5" x14ac:dyDescent="0.35">
      <c r="H112" s="369"/>
      <c r="I112" s="129"/>
      <c r="L112" s="134"/>
      <c r="M112" s="136"/>
    </row>
    <row r="113" spans="8:13" ht="14.5" x14ac:dyDescent="0.35">
      <c r="H113" s="369"/>
      <c r="I113" s="129"/>
      <c r="L113" s="134"/>
      <c r="M113" s="136"/>
    </row>
    <row r="114" spans="8:13" ht="14.5" x14ac:dyDescent="0.35">
      <c r="H114" s="369"/>
      <c r="I114" s="129"/>
      <c r="L114" s="134"/>
      <c r="M114" s="136"/>
    </row>
    <row r="115" spans="8:13" ht="14.5" x14ac:dyDescent="0.35">
      <c r="H115" s="369"/>
      <c r="I115" s="129"/>
      <c r="L115" s="134"/>
      <c r="M115" s="136"/>
    </row>
    <row r="116" spans="8:13" ht="14.5" x14ac:dyDescent="0.35">
      <c r="H116" s="369"/>
      <c r="I116" s="129"/>
      <c r="L116" s="134"/>
      <c r="M116" s="136"/>
    </row>
    <row r="117" spans="8:13" ht="14.5" x14ac:dyDescent="0.35">
      <c r="H117" s="369"/>
      <c r="I117" s="129"/>
      <c r="L117" s="134"/>
      <c r="M117" s="136"/>
    </row>
    <row r="118" spans="8:13" ht="14.5" x14ac:dyDescent="0.35">
      <c r="H118" s="369"/>
      <c r="I118" s="129"/>
      <c r="L118" s="134"/>
      <c r="M118" s="136"/>
    </row>
    <row r="119" spans="8:13" ht="14.5" x14ac:dyDescent="0.35">
      <c r="H119" s="369"/>
      <c r="I119" s="129"/>
      <c r="L119" s="134"/>
      <c r="M119" s="136"/>
    </row>
    <row r="120" spans="8:13" ht="14.5" x14ac:dyDescent="0.35">
      <c r="H120" s="369"/>
      <c r="I120" s="129"/>
      <c r="L120" s="134"/>
      <c r="M120" s="136"/>
    </row>
    <row r="121" spans="8:13" ht="14.5" x14ac:dyDescent="0.35">
      <c r="H121" s="369"/>
      <c r="I121" s="129"/>
      <c r="L121" s="134"/>
      <c r="M121" s="136"/>
    </row>
    <row r="122" spans="8:13" ht="14.5" x14ac:dyDescent="0.35">
      <c r="H122" s="369"/>
      <c r="I122" s="129"/>
      <c r="L122" s="134"/>
      <c r="M122" s="136"/>
    </row>
    <row r="123" spans="8:13" ht="14.5" x14ac:dyDescent="0.35">
      <c r="H123" s="369"/>
      <c r="I123" s="129"/>
      <c r="L123" s="134"/>
      <c r="M123" s="136"/>
    </row>
    <row r="124" spans="8:13" ht="14.5" x14ac:dyDescent="0.35">
      <c r="H124" s="369"/>
      <c r="I124" s="129"/>
      <c r="L124" s="134"/>
      <c r="M124" s="136"/>
    </row>
    <row r="125" spans="8:13" ht="14.5" x14ac:dyDescent="0.35">
      <c r="H125" s="369"/>
      <c r="I125" s="129"/>
      <c r="L125" s="134"/>
      <c r="M125" s="136"/>
    </row>
    <row r="126" spans="8:13" ht="14.5" x14ac:dyDescent="0.35">
      <c r="H126" s="369"/>
      <c r="I126" s="129"/>
      <c r="L126" s="134"/>
      <c r="M126" s="136"/>
    </row>
    <row r="127" spans="8:13" ht="14.5" x14ac:dyDescent="0.35">
      <c r="H127" s="369"/>
      <c r="I127" s="129"/>
      <c r="L127" s="134"/>
      <c r="M127" s="136"/>
    </row>
    <row r="128" spans="8:13" ht="14.5" x14ac:dyDescent="0.35">
      <c r="H128" s="369"/>
      <c r="I128" s="129"/>
      <c r="L128" s="134"/>
      <c r="M128" s="136"/>
    </row>
    <row r="129" spans="8:13" ht="14.5" x14ac:dyDescent="0.35">
      <c r="H129" s="369"/>
      <c r="I129" s="129"/>
      <c r="L129" s="134"/>
      <c r="M129" s="136"/>
    </row>
    <row r="130" spans="8:13" ht="14.5" x14ac:dyDescent="0.35">
      <c r="H130" s="369"/>
      <c r="I130" s="129"/>
      <c r="L130" s="134"/>
      <c r="M130" s="136"/>
    </row>
    <row r="131" spans="8:13" ht="14.5" x14ac:dyDescent="0.35">
      <c r="H131" s="369"/>
      <c r="I131" s="129"/>
      <c r="L131" s="134"/>
      <c r="M131" s="136"/>
    </row>
    <row r="132" spans="8:13" ht="14.5" x14ac:dyDescent="0.35">
      <c r="H132" s="369"/>
      <c r="I132" s="129"/>
      <c r="L132" s="134"/>
      <c r="M132" s="136"/>
    </row>
    <row r="133" spans="8:13" ht="14.5" x14ac:dyDescent="0.35">
      <c r="H133" s="369"/>
      <c r="I133" s="129"/>
      <c r="L133" s="134"/>
      <c r="M133" s="136"/>
    </row>
    <row r="134" spans="8:13" ht="14.5" x14ac:dyDescent="0.35">
      <c r="H134" s="369"/>
      <c r="I134" s="129"/>
      <c r="L134" s="134"/>
      <c r="M134" s="136"/>
    </row>
    <row r="135" spans="8:13" ht="14.5" x14ac:dyDescent="0.35">
      <c r="H135" s="369"/>
      <c r="I135" s="129"/>
      <c r="L135" s="134"/>
      <c r="M135" s="136"/>
    </row>
    <row r="136" spans="8:13" ht="14.5" x14ac:dyDescent="0.35">
      <c r="H136" s="369"/>
      <c r="I136" s="129"/>
      <c r="L136" s="134"/>
      <c r="M136" s="136"/>
    </row>
    <row r="137" spans="8:13" ht="14.5" x14ac:dyDescent="0.35">
      <c r="H137" s="369"/>
      <c r="I137" s="129"/>
      <c r="L137" s="134"/>
      <c r="M137" s="136"/>
    </row>
    <row r="138" spans="8:13" ht="14.5" x14ac:dyDescent="0.35">
      <c r="H138" s="369"/>
      <c r="I138" s="129"/>
      <c r="L138" s="134"/>
      <c r="M138" s="136"/>
    </row>
    <row r="139" spans="8:13" ht="14.5" x14ac:dyDescent="0.35">
      <c r="H139" s="369"/>
      <c r="I139" s="129"/>
      <c r="L139" s="134"/>
      <c r="M139" s="136"/>
    </row>
    <row r="140" spans="8:13" ht="14.5" x14ac:dyDescent="0.35">
      <c r="H140" s="369"/>
      <c r="I140" s="129"/>
      <c r="L140" s="134"/>
      <c r="M140" s="136"/>
    </row>
    <row r="141" spans="8:13" ht="14.5" x14ac:dyDescent="0.35">
      <c r="H141" s="369"/>
      <c r="I141" s="129"/>
      <c r="L141" s="134"/>
      <c r="M141" s="136"/>
    </row>
    <row r="142" spans="8:13" ht="14.5" x14ac:dyDescent="0.35">
      <c r="H142" s="369"/>
      <c r="I142" s="129"/>
      <c r="L142" s="134"/>
      <c r="M142" s="136"/>
    </row>
    <row r="143" spans="8:13" ht="14.5" x14ac:dyDescent="0.35">
      <c r="H143" s="369"/>
      <c r="I143" s="129"/>
      <c r="L143" s="134"/>
      <c r="M143" s="136"/>
    </row>
    <row r="144" spans="8:13" ht="14.5" x14ac:dyDescent="0.35">
      <c r="H144" s="369"/>
      <c r="I144" s="129"/>
      <c r="L144" s="134"/>
      <c r="M144" s="136"/>
    </row>
    <row r="145" spans="8:13" ht="14.5" x14ac:dyDescent="0.35">
      <c r="H145" s="369"/>
      <c r="I145" s="129"/>
      <c r="L145" s="134"/>
      <c r="M145" s="136"/>
    </row>
    <row r="146" spans="8:13" ht="14.5" x14ac:dyDescent="0.35">
      <c r="H146" s="369"/>
      <c r="I146" s="129"/>
      <c r="L146" s="134"/>
      <c r="M146" s="136"/>
    </row>
    <row r="147" spans="8:13" ht="14.5" x14ac:dyDescent="0.35">
      <c r="H147" s="369"/>
      <c r="I147" s="129"/>
      <c r="L147" s="134"/>
      <c r="M147" s="136"/>
    </row>
    <row r="148" spans="8:13" ht="14.5" x14ac:dyDescent="0.35">
      <c r="H148" s="369"/>
      <c r="I148" s="129"/>
      <c r="L148" s="134"/>
      <c r="M148" s="136"/>
    </row>
    <row r="149" spans="8:13" ht="14.5" x14ac:dyDescent="0.35">
      <c r="H149" s="369"/>
      <c r="I149" s="129"/>
      <c r="L149" s="134"/>
      <c r="M149" s="136"/>
    </row>
    <row r="150" spans="8:13" ht="14.5" x14ac:dyDescent="0.35">
      <c r="H150" s="369"/>
      <c r="I150" s="129"/>
      <c r="L150" s="134"/>
      <c r="M150" s="136"/>
    </row>
    <row r="151" spans="8:13" ht="14.5" x14ac:dyDescent="0.35">
      <c r="H151" s="369"/>
      <c r="I151" s="129"/>
      <c r="L151" s="134"/>
      <c r="M151" s="136"/>
    </row>
    <row r="152" spans="8:13" ht="14.5" x14ac:dyDescent="0.35">
      <c r="H152" s="369"/>
      <c r="I152" s="129"/>
      <c r="L152" s="134"/>
      <c r="M152" s="136"/>
    </row>
    <row r="153" spans="8:13" ht="14.5" x14ac:dyDescent="0.35">
      <c r="H153" s="369"/>
      <c r="I153" s="129"/>
      <c r="L153" s="134"/>
      <c r="M153" s="136"/>
    </row>
    <row r="154" spans="8:13" ht="14.5" x14ac:dyDescent="0.35">
      <c r="H154" s="369"/>
      <c r="I154" s="129"/>
      <c r="L154" s="134"/>
      <c r="M154" s="136"/>
    </row>
    <row r="155" spans="8:13" ht="14.5" x14ac:dyDescent="0.35">
      <c r="H155" s="369"/>
      <c r="I155" s="129"/>
      <c r="L155" s="134"/>
      <c r="M155" s="136"/>
    </row>
    <row r="156" spans="8:13" ht="14.5" x14ac:dyDescent="0.35">
      <c r="H156" s="369"/>
      <c r="I156" s="129"/>
      <c r="L156" s="134"/>
      <c r="M156" s="136"/>
    </row>
    <row r="157" spans="8:13" ht="14.5" x14ac:dyDescent="0.35">
      <c r="H157" s="369"/>
      <c r="I157" s="129"/>
      <c r="L157" s="134"/>
      <c r="M157" s="136"/>
    </row>
    <row r="158" spans="8:13" ht="14.5" x14ac:dyDescent="0.35">
      <c r="H158" s="369"/>
      <c r="I158" s="129"/>
      <c r="L158" s="134"/>
      <c r="M158" s="136"/>
    </row>
    <row r="159" spans="8:13" ht="14.5" x14ac:dyDescent="0.35">
      <c r="H159" s="369"/>
      <c r="I159" s="129"/>
      <c r="L159" s="134"/>
      <c r="M159" s="136"/>
    </row>
    <row r="160" spans="8:13" ht="14.5" x14ac:dyDescent="0.35">
      <c r="H160" s="369"/>
      <c r="I160" s="129"/>
      <c r="L160" s="134"/>
      <c r="M160" s="136"/>
    </row>
    <row r="161" spans="8:13" ht="14.5" x14ac:dyDescent="0.35">
      <c r="H161" s="369"/>
      <c r="I161" s="129"/>
      <c r="L161" s="134"/>
      <c r="M161" s="136"/>
    </row>
    <row r="162" spans="8:13" ht="14.5" x14ac:dyDescent="0.35">
      <c r="H162" s="369"/>
      <c r="I162" s="129"/>
      <c r="L162" s="134"/>
      <c r="M162" s="136"/>
    </row>
    <row r="163" spans="8:13" ht="14.5" x14ac:dyDescent="0.35">
      <c r="H163" s="369"/>
      <c r="I163" s="129"/>
      <c r="L163" s="134"/>
      <c r="M163" s="136"/>
    </row>
    <row r="164" spans="8:13" ht="14.5" x14ac:dyDescent="0.35">
      <c r="H164" s="369"/>
      <c r="I164" s="129"/>
      <c r="L164" s="134"/>
      <c r="M164" s="136"/>
    </row>
    <row r="165" spans="8:13" ht="14.5" x14ac:dyDescent="0.35">
      <c r="H165" s="369"/>
      <c r="I165" s="129"/>
      <c r="L165" s="134"/>
      <c r="M165" s="136"/>
    </row>
    <row r="166" spans="8:13" ht="14.5" x14ac:dyDescent="0.35">
      <c r="H166" s="369"/>
      <c r="I166" s="129"/>
      <c r="L166" s="134"/>
      <c r="M166" s="136"/>
    </row>
    <row r="167" spans="8:13" ht="14.5" x14ac:dyDescent="0.35">
      <c r="H167" s="369"/>
      <c r="I167" s="129"/>
      <c r="L167" s="134"/>
      <c r="M167" s="136"/>
    </row>
    <row r="168" spans="8:13" ht="14.5" x14ac:dyDescent="0.35">
      <c r="H168" s="369"/>
      <c r="I168" s="129"/>
      <c r="L168" s="134"/>
      <c r="M168" s="136"/>
    </row>
    <row r="169" spans="8:13" ht="14.5" x14ac:dyDescent="0.35">
      <c r="H169" s="369"/>
      <c r="I169" s="129"/>
      <c r="L169" s="134"/>
      <c r="M169" s="136"/>
    </row>
    <row r="170" spans="8:13" ht="14.5" x14ac:dyDescent="0.35">
      <c r="H170" s="369"/>
      <c r="I170" s="129"/>
      <c r="L170" s="134"/>
      <c r="M170" s="136"/>
    </row>
    <row r="171" spans="8:13" ht="14.5" x14ac:dyDescent="0.35">
      <c r="H171" s="369"/>
      <c r="I171" s="129"/>
      <c r="L171" s="134"/>
      <c r="M171" s="136"/>
    </row>
    <row r="172" spans="8:13" ht="14.5" x14ac:dyDescent="0.35">
      <c r="H172" s="369"/>
      <c r="I172" s="129"/>
      <c r="L172" s="134"/>
      <c r="M172" s="136"/>
    </row>
    <row r="173" spans="8:13" ht="14.5" x14ac:dyDescent="0.35">
      <c r="H173" s="369"/>
      <c r="I173" s="129"/>
      <c r="L173" s="134"/>
      <c r="M173" s="136"/>
    </row>
    <row r="174" spans="8:13" ht="14.5" x14ac:dyDescent="0.35">
      <c r="H174" s="369"/>
      <c r="I174" s="129"/>
      <c r="L174" s="134"/>
      <c r="M174" s="136"/>
    </row>
    <row r="175" spans="8:13" ht="14.5" x14ac:dyDescent="0.35">
      <c r="H175" s="369"/>
      <c r="I175" s="129"/>
      <c r="L175" s="134"/>
      <c r="M175" s="136"/>
    </row>
    <row r="176" spans="8:13" ht="14.5" x14ac:dyDescent="0.35">
      <c r="H176" s="369"/>
      <c r="I176" s="129"/>
      <c r="L176" s="134"/>
      <c r="M176" s="136"/>
    </row>
    <row r="177" spans="8:13" ht="14.5" x14ac:dyDescent="0.35">
      <c r="H177" s="369"/>
      <c r="I177" s="129"/>
      <c r="L177" s="134"/>
      <c r="M177" s="136"/>
    </row>
    <row r="178" spans="8:13" ht="14.5" x14ac:dyDescent="0.35">
      <c r="H178" s="369"/>
      <c r="I178" s="129"/>
      <c r="L178" s="134"/>
      <c r="M178" s="136"/>
    </row>
    <row r="179" spans="8:13" ht="14.5" x14ac:dyDescent="0.35">
      <c r="H179" s="369"/>
      <c r="I179" s="129"/>
      <c r="L179" s="134"/>
      <c r="M179" s="136"/>
    </row>
    <row r="180" spans="8:13" ht="14.5" x14ac:dyDescent="0.35">
      <c r="H180" s="369"/>
      <c r="I180" s="129"/>
      <c r="L180" s="134"/>
      <c r="M180" s="136"/>
    </row>
    <row r="181" spans="8:13" ht="14.5" x14ac:dyDescent="0.35">
      <c r="H181" s="369"/>
      <c r="I181" s="129"/>
      <c r="L181" s="134"/>
      <c r="M181" s="136"/>
    </row>
    <row r="182" spans="8:13" ht="14.5" x14ac:dyDescent="0.35">
      <c r="H182" s="369"/>
      <c r="I182" s="129"/>
      <c r="L182" s="134"/>
      <c r="M182" s="136"/>
    </row>
    <row r="183" spans="8:13" ht="14.5" x14ac:dyDescent="0.35">
      <c r="H183" s="369"/>
      <c r="I183" s="129"/>
      <c r="L183" s="134"/>
      <c r="M183" s="136"/>
    </row>
    <row r="184" spans="8:13" ht="14.5" x14ac:dyDescent="0.35">
      <c r="H184" s="369"/>
      <c r="I184" s="129"/>
      <c r="L184" s="134"/>
      <c r="M184" s="136"/>
    </row>
    <row r="185" spans="8:13" ht="14.5" x14ac:dyDescent="0.35">
      <c r="H185" s="369"/>
      <c r="I185" s="129"/>
      <c r="L185" s="134"/>
      <c r="M185" s="136"/>
    </row>
    <row r="186" spans="8:13" ht="14.5" x14ac:dyDescent="0.35">
      <c r="H186" s="369"/>
      <c r="I186" s="129"/>
      <c r="L186" s="134"/>
      <c r="M186" s="136"/>
    </row>
    <row r="187" spans="8:13" ht="14.5" x14ac:dyDescent="0.35">
      <c r="H187" s="369"/>
      <c r="I187" s="129"/>
      <c r="L187" s="134"/>
      <c r="M187" s="136"/>
    </row>
    <row r="188" spans="8:13" ht="14.5" x14ac:dyDescent="0.35">
      <c r="H188" s="369"/>
      <c r="I188" s="129"/>
      <c r="L188" s="134"/>
      <c r="M188" s="136"/>
    </row>
    <row r="189" spans="8:13" ht="14.5" x14ac:dyDescent="0.35">
      <c r="H189" s="369"/>
      <c r="I189" s="129"/>
      <c r="L189" s="134"/>
      <c r="M189" s="136"/>
    </row>
    <row r="190" spans="8:13" ht="14.5" x14ac:dyDescent="0.35">
      <c r="H190" s="369"/>
      <c r="I190" s="129"/>
      <c r="L190" s="134"/>
      <c r="M190" s="136"/>
    </row>
    <row r="191" spans="8:13" ht="14.5" x14ac:dyDescent="0.35">
      <c r="H191" s="369"/>
      <c r="I191" s="129"/>
      <c r="L191" s="134"/>
      <c r="M191" s="136"/>
    </row>
    <row r="192" spans="8:13" ht="14.5" x14ac:dyDescent="0.35">
      <c r="H192" s="369"/>
      <c r="I192" s="129"/>
      <c r="L192" s="134"/>
      <c r="M192" s="136"/>
    </row>
    <row r="193" spans="8:13" ht="14.5" x14ac:dyDescent="0.35">
      <c r="H193" s="369"/>
      <c r="I193" s="129"/>
      <c r="L193" s="134"/>
      <c r="M193" s="136"/>
    </row>
    <row r="194" spans="8:13" ht="14.5" x14ac:dyDescent="0.35">
      <c r="H194" s="369"/>
      <c r="I194" s="129"/>
      <c r="L194" s="134"/>
      <c r="M194" s="136"/>
    </row>
    <row r="195" spans="8:13" ht="14.5" x14ac:dyDescent="0.35">
      <c r="H195" s="369"/>
      <c r="I195" s="129"/>
      <c r="L195" s="134"/>
      <c r="M195" s="136"/>
    </row>
    <row r="196" spans="8:13" ht="14.5" x14ac:dyDescent="0.35">
      <c r="H196" s="369"/>
      <c r="I196" s="129"/>
      <c r="L196" s="134"/>
      <c r="M196" s="136"/>
    </row>
    <row r="197" spans="8:13" ht="14.5" x14ac:dyDescent="0.35">
      <c r="H197" s="369"/>
      <c r="I197" s="129"/>
      <c r="L197" s="134"/>
      <c r="M197" s="136"/>
    </row>
    <row r="198" spans="8:13" ht="14.5" x14ac:dyDescent="0.35">
      <c r="H198" s="369"/>
      <c r="I198" s="129"/>
      <c r="L198" s="134"/>
      <c r="M198" s="136"/>
    </row>
    <row r="199" spans="8:13" ht="14.5" x14ac:dyDescent="0.35">
      <c r="H199" s="369"/>
      <c r="I199" s="129"/>
      <c r="L199" s="134"/>
      <c r="M199" s="136"/>
    </row>
    <row r="200" spans="8:13" ht="14.5" x14ac:dyDescent="0.35">
      <c r="H200" s="369"/>
      <c r="I200" s="129"/>
      <c r="L200" s="134"/>
      <c r="M200" s="136"/>
    </row>
    <row r="201" spans="8:13" ht="14.5" x14ac:dyDescent="0.35">
      <c r="H201" s="369"/>
      <c r="I201" s="129"/>
      <c r="L201" s="134"/>
      <c r="M201" s="136"/>
    </row>
    <row r="202" spans="8:13" ht="14.5" x14ac:dyDescent="0.35">
      <c r="H202" s="369"/>
      <c r="I202" s="129"/>
      <c r="L202" s="134"/>
      <c r="M202" s="136"/>
    </row>
    <row r="203" spans="8:13" ht="14.5" x14ac:dyDescent="0.35">
      <c r="H203" s="369"/>
      <c r="I203" s="129"/>
      <c r="L203" s="134"/>
      <c r="M203" s="136"/>
    </row>
    <row r="204" spans="8:13" ht="14.5" x14ac:dyDescent="0.35">
      <c r="H204" s="369"/>
      <c r="I204" s="129"/>
      <c r="L204" s="134"/>
      <c r="M204" s="136"/>
    </row>
    <row r="205" spans="8:13" ht="14.5" x14ac:dyDescent="0.35">
      <c r="H205" s="369"/>
      <c r="I205" s="129"/>
      <c r="L205" s="134"/>
      <c r="M205" s="136"/>
    </row>
    <row r="206" spans="8:13" ht="14.5" x14ac:dyDescent="0.35">
      <c r="H206" s="369"/>
      <c r="I206" s="129"/>
      <c r="L206" s="134"/>
      <c r="M206" s="136"/>
    </row>
    <row r="207" spans="8:13" ht="14.5" x14ac:dyDescent="0.35">
      <c r="H207" s="369"/>
      <c r="I207" s="129"/>
      <c r="L207" s="134"/>
      <c r="M207" s="136"/>
    </row>
    <row r="208" spans="8:13" ht="14.5" x14ac:dyDescent="0.35">
      <c r="H208" s="369"/>
      <c r="I208" s="129"/>
      <c r="L208" s="134"/>
      <c r="M208" s="136"/>
    </row>
    <row r="209" spans="8:13" ht="14.5" x14ac:dyDescent="0.35">
      <c r="H209" s="369"/>
      <c r="I209" s="129"/>
      <c r="L209" s="134"/>
      <c r="M209" s="136"/>
    </row>
    <row r="210" spans="8:13" ht="14.5" x14ac:dyDescent="0.35">
      <c r="H210" s="369"/>
      <c r="I210" s="129"/>
      <c r="L210" s="134"/>
      <c r="M210" s="136"/>
    </row>
    <row r="211" spans="8:13" ht="14.5" x14ac:dyDescent="0.35">
      <c r="H211" s="369"/>
      <c r="I211" s="129"/>
      <c r="L211" s="134"/>
      <c r="M211" s="136"/>
    </row>
    <row r="212" spans="8:13" ht="14.5" x14ac:dyDescent="0.35">
      <c r="H212" s="369"/>
      <c r="I212" s="129"/>
      <c r="L212" s="134"/>
      <c r="M212" s="136"/>
    </row>
    <row r="213" spans="8:13" ht="14.5" x14ac:dyDescent="0.35">
      <c r="H213" s="369"/>
      <c r="I213" s="129"/>
      <c r="L213" s="134"/>
      <c r="M213" s="136"/>
    </row>
    <row r="214" spans="8:13" ht="14.5" x14ac:dyDescent="0.35">
      <c r="H214" s="369"/>
      <c r="I214" s="129"/>
      <c r="L214" s="134"/>
      <c r="M214" s="136"/>
    </row>
    <row r="215" spans="8:13" ht="14.5" x14ac:dyDescent="0.35">
      <c r="H215" s="369"/>
      <c r="I215" s="129"/>
      <c r="L215" s="134"/>
      <c r="M215" s="136"/>
    </row>
    <row r="216" spans="8:13" ht="14.5" x14ac:dyDescent="0.35">
      <c r="H216" s="369"/>
      <c r="I216" s="129"/>
      <c r="L216" s="134"/>
      <c r="M216" s="136"/>
    </row>
    <row r="217" spans="8:13" ht="14.5" x14ac:dyDescent="0.35">
      <c r="H217" s="369"/>
      <c r="I217" s="129"/>
      <c r="L217" s="134"/>
      <c r="M217" s="136"/>
    </row>
    <row r="218" spans="8:13" ht="14.5" x14ac:dyDescent="0.35">
      <c r="H218" s="369"/>
      <c r="I218" s="129"/>
      <c r="L218" s="134"/>
      <c r="M218" s="136"/>
    </row>
    <row r="219" spans="8:13" ht="14.5" x14ac:dyDescent="0.35">
      <c r="H219" s="369"/>
      <c r="I219" s="129"/>
      <c r="L219" s="134"/>
      <c r="M219" s="136"/>
    </row>
    <row r="220" spans="8:13" ht="14.5" x14ac:dyDescent="0.35">
      <c r="H220" s="369"/>
      <c r="I220" s="129"/>
      <c r="L220" s="134"/>
      <c r="M220" s="136"/>
    </row>
    <row r="221" spans="8:13" ht="14.5" x14ac:dyDescent="0.35">
      <c r="H221" s="369"/>
      <c r="I221" s="129"/>
      <c r="L221" s="134"/>
      <c r="M221" s="136"/>
    </row>
    <row r="222" spans="8:13" ht="14.5" x14ac:dyDescent="0.35">
      <c r="H222" s="369"/>
      <c r="I222" s="129"/>
      <c r="L222" s="134"/>
      <c r="M222" s="136"/>
    </row>
    <row r="223" spans="8:13" ht="14.5" x14ac:dyDescent="0.35">
      <c r="H223" s="369"/>
      <c r="I223" s="129"/>
      <c r="L223" s="134"/>
      <c r="M223" s="136"/>
    </row>
    <row r="224" spans="8:13" ht="14.5" x14ac:dyDescent="0.35">
      <c r="H224" s="369"/>
      <c r="I224" s="129"/>
      <c r="L224" s="134"/>
      <c r="M224" s="136"/>
    </row>
    <row r="225" spans="8:13" ht="14.5" x14ac:dyDescent="0.35">
      <c r="H225" s="369"/>
      <c r="I225" s="129"/>
      <c r="L225" s="134"/>
      <c r="M225" s="136"/>
    </row>
    <row r="226" spans="8:13" ht="14.5" x14ac:dyDescent="0.35">
      <c r="H226" s="369"/>
      <c r="I226" s="129"/>
      <c r="L226" s="134"/>
      <c r="M226" s="136"/>
    </row>
    <row r="227" spans="8:13" ht="14.5" x14ac:dyDescent="0.35">
      <c r="H227" s="369"/>
      <c r="I227" s="129"/>
      <c r="L227" s="134"/>
      <c r="M227" s="136"/>
    </row>
    <row r="228" spans="8:13" ht="14.5" x14ac:dyDescent="0.35">
      <c r="H228" s="369"/>
      <c r="I228" s="129"/>
      <c r="L228" s="134"/>
      <c r="M228" s="136"/>
    </row>
    <row r="229" spans="8:13" ht="14.5" x14ac:dyDescent="0.35">
      <c r="H229" s="363"/>
      <c r="I229" s="129"/>
      <c r="L229" s="134"/>
      <c r="M229" s="136"/>
    </row>
    <row r="230" spans="8:13" ht="14.5" x14ac:dyDescent="0.35">
      <c r="H230" s="363"/>
      <c r="I230" s="129"/>
      <c r="L230" s="134"/>
      <c r="M230" s="136"/>
    </row>
    <row r="231" spans="8:13" ht="14.5" x14ac:dyDescent="0.35">
      <c r="H231" s="363"/>
      <c r="I231" s="129"/>
      <c r="L231" s="134"/>
      <c r="M231" s="136"/>
    </row>
    <row r="232" spans="8:13" ht="14.5" x14ac:dyDescent="0.35">
      <c r="H232" s="363"/>
      <c r="I232" s="129"/>
      <c r="L232" s="134"/>
      <c r="M232" s="136"/>
    </row>
    <row r="233" spans="8:13" ht="14.5" x14ac:dyDescent="0.35">
      <c r="H233" s="363"/>
      <c r="I233" s="129"/>
      <c r="L233" s="134"/>
      <c r="M233" s="136"/>
    </row>
    <row r="234" spans="8:13" ht="14.5" x14ac:dyDescent="0.35">
      <c r="H234" s="363"/>
      <c r="I234" s="129"/>
      <c r="L234" s="134"/>
      <c r="M234" s="136"/>
    </row>
    <row r="235" spans="8:13" ht="14.5" x14ac:dyDescent="0.35">
      <c r="H235" s="363"/>
      <c r="I235" s="129"/>
      <c r="L235" s="134"/>
      <c r="M235" s="136"/>
    </row>
    <row r="236" spans="8:13" ht="14.5" x14ac:dyDescent="0.35">
      <c r="H236" s="363"/>
      <c r="I236" s="129"/>
      <c r="L236" s="134"/>
      <c r="M236" s="136"/>
    </row>
    <row r="237" spans="8:13" ht="14.5" x14ac:dyDescent="0.35">
      <c r="H237" s="363"/>
      <c r="I237" s="129"/>
      <c r="L237" s="134"/>
      <c r="M237" s="136"/>
    </row>
    <row r="238" spans="8:13" ht="14.5" x14ac:dyDescent="0.35">
      <c r="H238" s="363"/>
      <c r="I238" s="129"/>
      <c r="L238" s="134"/>
      <c r="M238" s="136"/>
    </row>
    <row r="239" spans="8:13" ht="14.5" x14ac:dyDescent="0.35">
      <c r="H239" s="363"/>
      <c r="I239" s="129"/>
      <c r="L239" s="134"/>
      <c r="M239" s="136"/>
    </row>
    <row r="240" spans="8:13" ht="14.5" x14ac:dyDescent="0.35">
      <c r="H240" s="363"/>
      <c r="I240" s="129"/>
      <c r="L240" s="134"/>
      <c r="M240" s="136"/>
    </row>
    <row r="241" spans="8:13" ht="14.5" x14ac:dyDescent="0.35">
      <c r="H241" s="363"/>
      <c r="I241" s="129"/>
      <c r="L241" s="134"/>
      <c r="M241" s="136"/>
    </row>
    <row r="242" spans="8:13" ht="14.5" x14ac:dyDescent="0.35">
      <c r="H242" s="363"/>
      <c r="I242" s="129"/>
      <c r="L242" s="134"/>
      <c r="M242" s="136"/>
    </row>
    <row r="243" spans="8:13" ht="14.5" x14ac:dyDescent="0.35">
      <c r="H243" s="363"/>
      <c r="I243" s="129"/>
      <c r="L243" s="134"/>
      <c r="M243" s="136"/>
    </row>
    <row r="244" spans="8:13" ht="14.5" x14ac:dyDescent="0.35">
      <c r="H244" s="363"/>
      <c r="I244" s="129"/>
      <c r="L244" s="134"/>
      <c r="M244" s="136"/>
    </row>
    <row r="245" spans="8:13" ht="14.5" x14ac:dyDescent="0.35">
      <c r="H245" s="363"/>
      <c r="I245" s="129"/>
      <c r="L245" s="134"/>
      <c r="M245" s="136"/>
    </row>
    <row r="246" spans="8:13" ht="14.5" x14ac:dyDescent="0.35">
      <c r="H246" s="363"/>
      <c r="I246" s="129"/>
      <c r="L246" s="134"/>
      <c r="M246" s="136"/>
    </row>
    <row r="247" spans="8:13" ht="14.5" x14ac:dyDescent="0.35">
      <c r="H247" s="363"/>
      <c r="I247" s="129"/>
      <c r="L247" s="134"/>
      <c r="M247" s="136"/>
    </row>
    <row r="248" spans="8:13" ht="14.5" x14ac:dyDescent="0.35">
      <c r="H248" s="363"/>
      <c r="I248" s="129"/>
      <c r="L248" s="134"/>
      <c r="M248" s="136"/>
    </row>
    <row r="249" spans="8:13" ht="14.5" x14ac:dyDescent="0.35">
      <c r="H249" s="363"/>
      <c r="I249" s="129"/>
      <c r="L249" s="134"/>
      <c r="M249" s="136"/>
    </row>
    <row r="250" spans="8:13" ht="14.5" x14ac:dyDescent="0.35">
      <c r="H250" s="363"/>
      <c r="I250" s="129"/>
      <c r="L250" s="134"/>
      <c r="M250" s="136"/>
    </row>
    <row r="251" spans="8:13" ht="14.5" x14ac:dyDescent="0.35">
      <c r="H251" s="363"/>
      <c r="I251" s="129"/>
      <c r="L251" s="134"/>
      <c r="M251" s="136"/>
    </row>
    <row r="252" spans="8:13" ht="14.5" x14ac:dyDescent="0.35">
      <c r="H252" s="363"/>
      <c r="I252" s="129"/>
      <c r="L252" s="134"/>
      <c r="M252" s="136"/>
    </row>
    <row r="253" spans="8:13" ht="14.5" x14ac:dyDescent="0.35">
      <c r="H253" s="363"/>
      <c r="I253" s="129"/>
      <c r="L253" s="134"/>
      <c r="M253" s="136"/>
    </row>
    <row r="254" spans="8:13" ht="14.5" x14ac:dyDescent="0.35">
      <c r="H254" s="363"/>
      <c r="I254" s="129"/>
      <c r="L254" s="134"/>
      <c r="M254" s="136"/>
    </row>
    <row r="255" spans="8:13" ht="14.5" x14ac:dyDescent="0.35">
      <c r="H255" s="363"/>
      <c r="I255" s="129"/>
      <c r="L255" s="134"/>
      <c r="M255" s="136"/>
    </row>
    <row r="256" spans="8:13" ht="14.5" x14ac:dyDescent="0.35">
      <c r="H256" s="363"/>
      <c r="I256" s="129"/>
      <c r="L256" s="134"/>
      <c r="M256" s="136"/>
    </row>
    <row r="257" spans="8:13" ht="14.5" x14ac:dyDescent="0.35">
      <c r="H257" s="363"/>
      <c r="I257" s="129"/>
      <c r="L257" s="134"/>
      <c r="M257" s="136"/>
    </row>
    <row r="258" spans="8:13" ht="14.5" x14ac:dyDescent="0.35">
      <c r="H258" s="363"/>
      <c r="I258" s="129"/>
      <c r="L258" s="134"/>
      <c r="M258" s="136"/>
    </row>
    <row r="259" spans="8:13" ht="14.5" x14ac:dyDescent="0.35">
      <c r="H259" s="363"/>
      <c r="I259" s="129"/>
      <c r="L259" s="134"/>
      <c r="M259" s="136"/>
    </row>
    <row r="260" spans="8:13" ht="14.5" x14ac:dyDescent="0.35">
      <c r="H260" s="363"/>
      <c r="I260" s="129"/>
      <c r="L260" s="134"/>
      <c r="M260" s="136"/>
    </row>
    <row r="261" spans="8:13" ht="14.5" x14ac:dyDescent="0.35">
      <c r="H261" s="363"/>
      <c r="I261" s="129"/>
      <c r="L261" s="134"/>
      <c r="M261" s="136"/>
    </row>
    <row r="262" spans="8:13" ht="14.5" x14ac:dyDescent="0.35">
      <c r="H262" s="363"/>
      <c r="I262" s="129"/>
      <c r="L262" s="134"/>
      <c r="M262" s="136"/>
    </row>
    <row r="263" spans="8:13" ht="14.5" x14ac:dyDescent="0.35">
      <c r="H263" s="363"/>
      <c r="I263" s="129"/>
      <c r="L263" s="134"/>
      <c r="M263" s="136"/>
    </row>
    <row r="264" spans="8:13" ht="14.5" x14ac:dyDescent="0.35">
      <c r="H264" s="363"/>
      <c r="I264" s="129"/>
      <c r="L264" s="134"/>
      <c r="M264" s="136"/>
    </row>
    <row r="265" spans="8:13" ht="14.5" x14ac:dyDescent="0.35">
      <c r="H265" s="363"/>
      <c r="I265" s="129"/>
      <c r="L265" s="134"/>
      <c r="M265" s="136"/>
    </row>
    <row r="266" spans="8:13" ht="14.5" x14ac:dyDescent="0.35">
      <c r="H266" s="363"/>
      <c r="I266" s="129"/>
      <c r="L266" s="134"/>
      <c r="M266" s="136"/>
    </row>
    <row r="267" spans="8:13" ht="14.5" x14ac:dyDescent="0.35">
      <c r="H267" s="363"/>
      <c r="I267" s="129"/>
      <c r="L267" s="134"/>
      <c r="M267" s="136"/>
    </row>
    <row r="268" spans="8:13" ht="14.5" x14ac:dyDescent="0.35">
      <c r="H268" s="363"/>
      <c r="I268" s="129"/>
      <c r="L268" s="134"/>
      <c r="M268" s="136"/>
    </row>
    <row r="269" spans="8:13" ht="14.5" x14ac:dyDescent="0.35">
      <c r="H269" s="363"/>
      <c r="I269" s="129"/>
      <c r="L269" s="134"/>
      <c r="M269" s="136"/>
    </row>
    <row r="270" spans="8:13" ht="14.5" x14ac:dyDescent="0.35">
      <c r="H270" s="363"/>
      <c r="I270" s="129"/>
      <c r="L270" s="134"/>
      <c r="M270" s="136"/>
    </row>
    <row r="271" spans="8:13" ht="14.5" x14ac:dyDescent="0.35">
      <c r="H271" s="363"/>
      <c r="I271" s="129"/>
      <c r="L271" s="134"/>
      <c r="M271" s="136"/>
    </row>
    <row r="272" spans="8:13" ht="14.5" x14ac:dyDescent="0.35">
      <c r="H272" s="363"/>
      <c r="I272" s="129"/>
      <c r="L272" s="134"/>
      <c r="M272" s="136"/>
    </row>
    <row r="273" spans="8:13" ht="14.5" x14ac:dyDescent="0.35">
      <c r="H273" s="363"/>
      <c r="I273" s="129"/>
      <c r="L273" s="134"/>
      <c r="M273" s="136"/>
    </row>
    <row r="274" spans="8:13" ht="14.5" x14ac:dyDescent="0.35">
      <c r="H274" s="363"/>
      <c r="I274" s="129"/>
      <c r="L274" s="134"/>
      <c r="M274" s="136"/>
    </row>
    <row r="275" spans="8:13" ht="14.5" x14ac:dyDescent="0.35">
      <c r="H275" s="363"/>
      <c r="I275" s="129"/>
      <c r="L275" s="134"/>
      <c r="M275" s="136"/>
    </row>
    <row r="276" spans="8:13" ht="14.5" x14ac:dyDescent="0.35">
      <c r="H276" s="363"/>
      <c r="I276" s="129"/>
      <c r="L276" s="134"/>
      <c r="M276" s="136"/>
    </row>
    <row r="277" spans="8:13" ht="14.5" x14ac:dyDescent="0.35">
      <c r="H277" s="363"/>
      <c r="I277" s="129"/>
      <c r="L277" s="134"/>
      <c r="M277" s="136"/>
    </row>
    <row r="278" spans="8:13" ht="14.5" x14ac:dyDescent="0.35">
      <c r="H278" s="363"/>
      <c r="I278" s="129"/>
      <c r="L278" s="134"/>
      <c r="M278" s="136"/>
    </row>
    <row r="279" spans="8:13" ht="14.5" x14ac:dyDescent="0.35">
      <c r="H279" s="363"/>
      <c r="I279" s="129"/>
      <c r="L279" s="134"/>
      <c r="M279" s="136"/>
    </row>
    <row r="280" spans="8:13" ht="14.5" x14ac:dyDescent="0.35">
      <c r="H280" s="363"/>
      <c r="I280" s="129"/>
      <c r="L280" s="134"/>
      <c r="M280" s="136"/>
    </row>
    <row r="281" spans="8:13" ht="14.5" x14ac:dyDescent="0.35">
      <c r="H281" s="363"/>
      <c r="I281" s="129"/>
      <c r="L281" s="134"/>
      <c r="M281" s="136"/>
    </row>
    <row r="282" spans="8:13" ht="14.5" x14ac:dyDescent="0.35">
      <c r="H282" s="363"/>
      <c r="I282" s="129"/>
      <c r="L282" s="134"/>
      <c r="M282" s="136"/>
    </row>
    <row r="283" spans="8:13" ht="14.5" x14ac:dyDescent="0.35">
      <c r="H283" s="363"/>
      <c r="I283" s="129"/>
      <c r="L283" s="134"/>
      <c r="M283" s="136"/>
    </row>
    <row r="284" spans="8:13" ht="14.5" x14ac:dyDescent="0.35">
      <c r="H284" s="363"/>
      <c r="I284" s="129"/>
      <c r="L284" s="134"/>
      <c r="M284" s="136"/>
    </row>
    <row r="285" spans="8:13" ht="14.5" x14ac:dyDescent="0.35">
      <c r="H285" s="363"/>
      <c r="I285" s="129"/>
      <c r="L285" s="134"/>
      <c r="M285" s="136"/>
    </row>
    <row r="286" spans="8:13" ht="14.5" x14ac:dyDescent="0.35">
      <c r="H286" s="363"/>
      <c r="I286" s="129"/>
      <c r="L286" s="134"/>
      <c r="M286" s="136"/>
    </row>
    <row r="287" spans="8:13" ht="14.5" x14ac:dyDescent="0.35">
      <c r="H287" s="363"/>
      <c r="I287" s="129"/>
      <c r="L287" s="134"/>
      <c r="M287" s="136"/>
    </row>
    <row r="288" spans="8:13" ht="14.5" x14ac:dyDescent="0.35">
      <c r="H288" s="363"/>
      <c r="I288" s="129"/>
      <c r="L288" s="134"/>
      <c r="M288" s="136"/>
    </row>
    <row r="289" spans="8:13" ht="14.5" x14ac:dyDescent="0.35">
      <c r="H289" s="363"/>
      <c r="I289" s="129"/>
      <c r="L289" s="134"/>
      <c r="M289" s="136"/>
    </row>
    <row r="290" spans="8:13" ht="14.5" x14ac:dyDescent="0.35">
      <c r="H290" s="363"/>
      <c r="I290" s="129"/>
      <c r="L290" s="134"/>
      <c r="M290" s="136"/>
    </row>
    <row r="291" spans="8:13" ht="14.5" x14ac:dyDescent="0.35">
      <c r="H291" s="363"/>
      <c r="I291" s="129"/>
      <c r="L291" s="134"/>
      <c r="M291" s="136"/>
    </row>
    <row r="292" spans="8:13" ht="14.5" x14ac:dyDescent="0.35">
      <c r="H292" s="363"/>
      <c r="I292" s="129"/>
      <c r="L292" s="134"/>
      <c r="M292" s="136"/>
    </row>
    <row r="293" spans="8:13" ht="14.5" x14ac:dyDescent="0.35">
      <c r="H293" s="363"/>
      <c r="I293" s="129"/>
      <c r="L293" s="134"/>
      <c r="M293" s="136"/>
    </row>
    <row r="294" spans="8:13" ht="14.5" x14ac:dyDescent="0.35">
      <c r="H294" s="363"/>
      <c r="I294" s="129"/>
      <c r="L294" s="134"/>
      <c r="M294" s="136"/>
    </row>
    <row r="295" spans="8:13" ht="14.5" x14ac:dyDescent="0.35">
      <c r="H295" s="363"/>
      <c r="I295" s="129"/>
      <c r="L295" s="134"/>
      <c r="M295" s="136"/>
    </row>
    <row r="296" spans="8:13" ht="14.5" x14ac:dyDescent="0.35">
      <c r="H296" s="363"/>
      <c r="I296" s="129"/>
      <c r="L296" s="134"/>
      <c r="M296" s="136"/>
    </row>
    <row r="297" spans="8:13" ht="14.5" x14ac:dyDescent="0.35">
      <c r="H297" s="363"/>
      <c r="I297" s="129"/>
      <c r="L297" s="134"/>
      <c r="M297" s="136"/>
    </row>
    <row r="298" spans="8:13" ht="14.5" x14ac:dyDescent="0.35">
      <c r="H298" s="363"/>
      <c r="I298" s="129"/>
      <c r="L298" s="134"/>
      <c r="M298" s="136"/>
    </row>
    <row r="299" spans="8:13" ht="14.5" x14ac:dyDescent="0.35">
      <c r="H299" s="363"/>
      <c r="I299" s="129"/>
      <c r="L299" s="134"/>
      <c r="M299" s="136"/>
    </row>
    <row r="300" spans="8:13" ht="14.5" x14ac:dyDescent="0.35">
      <c r="H300" s="363"/>
      <c r="I300" s="129"/>
      <c r="L300" s="134"/>
      <c r="M300" s="136"/>
    </row>
    <row r="301" spans="8:13" ht="14.5" x14ac:dyDescent="0.35">
      <c r="H301" s="363"/>
      <c r="I301" s="129"/>
      <c r="L301" s="134"/>
      <c r="M301" s="136"/>
    </row>
    <row r="302" spans="8:13" ht="14.5" x14ac:dyDescent="0.35">
      <c r="H302" s="363"/>
      <c r="I302" s="129"/>
      <c r="L302" s="134"/>
      <c r="M302" s="136"/>
    </row>
    <row r="303" spans="8:13" ht="14.5" x14ac:dyDescent="0.35">
      <c r="H303" s="363"/>
      <c r="I303" s="129"/>
      <c r="L303" s="134"/>
      <c r="M303" s="136"/>
    </row>
    <row r="304" spans="8:13" ht="14.5" x14ac:dyDescent="0.35">
      <c r="H304" s="363"/>
      <c r="I304" s="129"/>
      <c r="L304" s="134"/>
      <c r="M304" s="136"/>
    </row>
    <row r="305" spans="8:13" ht="14.5" x14ac:dyDescent="0.35">
      <c r="H305" s="363"/>
      <c r="I305" s="129"/>
      <c r="L305" s="134"/>
      <c r="M305" s="136"/>
    </row>
    <row r="306" spans="8:13" ht="14.5" x14ac:dyDescent="0.35">
      <c r="H306" s="363"/>
      <c r="I306" s="129"/>
      <c r="L306" s="134"/>
      <c r="M306" s="136"/>
    </row>
    <row r="307" spans="8:13" ht="14.5" x14ac:dyDescent="0.35">
      <c r="H307" s="363"/>
      <c r="I307" s="129"/>
      <c r="L307" s="134"/>
      <c r="M307" s="136"/>
    </row>
    <row r="308" spans="8:13" ht="14.5" x14ac:dyDescent="0.35">
      <c r="H308" s="363"/>
      <c r="I308" s="129"/>
      <c r="L308" s="134"/>
      <c r="M308" s="136"/>
    </row>
    <row r="309" spans="8:13" ht="14.5" x14ac:dyDescent="0.35">
      <c r="H309" s="363"/>
      <c r="I309" s="129"/>
      <c r="L309" s="134"/>
      <c r="M309" s="136"/>
    </row>
    <row r="310" spans="8:13" ht="14.5" x14ac:dyDescent="0.35">
      <c r="H310" s="363"/>
      <c r="I310" s="129"/>
      <c r="L310" s="134"/>
      <c r="M310" s="136"/>
    </row>
    <row r="311" spans="8:13" ht="14.5" x14ac:dyDescent="0.35">
      <c r="H311" s="363"/>
      <c r="I311" s="129"/>
      <c r="L311" s="134"/>
      <c r="M311" s="136"/>
    </row>
    <row r="312" spans="8:13" ht="14.5" x14ac:dyDescent="0.35">
      <c r="H312" s="363"/>
      <c r="I312" s="129"/>
      <c r="L312" s="134"/>
      <c r="M312" s="136"/>
    </row>
    <row r="313" spans="8:13" ht="14.5" x14ac:dyDescent="0.35">
      <c r="H313" s="363"/>
      <c r="I313" s="129"/>
      <c r="L313" s="134"/>
      <c r="M313" s="136"/>
    </row>
    <row r="314" spans="8:13" ht="14.5" x14ac:dyDescent="0.35">
      <c r="H314" s="363"/>
      <c r="I314" s="129"/>
      <c r="L314" s="134"/>
      <c r="M314" s="136"/>
    </row>
    <row r="315" spans="8:13" ht="14.5" x14ac:dyDescent="0.35">
      <c r="H315" s="363"/>
      <c r="I315" s="129"/>
      <c r="L315" s="134"/>
      <c r="M315" s="136"/>
    </row>
    <row r="316" spans="8:13" ht="14.5" x14ac:dyDescent="0.35">
      <c r="H316" s="363"/>
      <c r="I316" s="129"/>
      <c r="L316" s="134"/>
      <c r="M316" s="136"/>
    </row>
    <row r="317" spans="8:13" ht="14.5" x14ac:dyDescent="0.35">
      <c r="H317" s="363"/>
      <c r="I317" s="129"/>
      <c r="L317" s="134"/>
      <c r="M317" s="136"/>
    </row>
    <row r="318" spans="8:13" ht="14.5" x14ac:dyDescent="0.35">
      <c r="H318" s="363"/>
      <c r="I318" s="129"/>
      <c r="L318" s="134"/>
      <c r="M318" s="136"/>
    </row>
    <row r="319" spans="8:13" ht="14.5" x14ac:dyDescent="0.35">
      <c r="H319" s="363"/>
      <c r="I319" s="129"/>
      <c r="L319" s="134"/>
      <c r="M319" s="136"/>
    </row>
    <row r="320" spans="8:13" ht="14.5" x14ac:dyDescent="0.35">
      <c r="H320" s="363"/>
      <c r="I320" s="129"/>
      <c r="L320" s="134"/>
      <c r="M320" s="136"/>
    </row>
    <row r="321" spans="8:13" ht="14.5" x14ac:dyDescent="0.35">
      <c r="H321" s="363"/>
      <c r="I321" s="129"/>
      <c r="L321" s="134"/>
      <c r="M321" s="136"/>
    </row>
    <row r="322" spans="8:13" ht="14.5" x14ac:dyDescent="0.35">
      <c r="H322" s="363"/>
      <c r="I322" s="129"/>
      <c r="L322" s="134"/>
      <c r="M322" s="136"/>
    </row>
    <row r="323" spans="8:13" ht="14.5" x14ac:dyDescent="0.35">
      <c r="H323" s="363"/>
      <c r="I323" s="129"/>
      <c r="L323" s="134"/>
      <c r="M323" s="136"/>
    </row>
    <row r="324" spans="8:13" ht="14.5" x14ac:dyDescent="0.35">
      <c r="H324" s="363"/>
      <c r="I324" s="129"/>
      <c r="L324" s="134"/>
      <c r="M324" s="136"/>
    </row>
    <row r="325" spans="8:13" ht="14.5" x14ac:dyDescent="0.35">
      <c r="H325" s="363"/>
      <c r="I325" s="129"/>
      <c r="L325" s="134"/>
      <c r="M325" s="136"/>
    </row>
    <row r="326" spans="8:13" ht="14.5" x14ac:dyDescent="0.35">
      <c r="H326" s="363"/>
      <c r="I326" s="129"/>
      <c r="L326" s="134"/>
      <c r="M326" s="136"/>
    </row>
    <row r="327" spans="8:13" ht="14.5" x14ac:dyDescent="0.35">
      <c r="H327" s="363"/>
      <c r="I327" s="129"/>
      <c r="L327" s="134"/>
      <c r="M327" s="136"/>
    </row>
    <row r="328" spans="8:13" ht="14.5" x14ac:dyDescent="0.35">
      <c r="H328" s="363"/>
      <c r="I328" s="129"/>
      <c r="L328" s="134"/>
      <c r="M328" s="136"/>
    </row>
    <row r="329" spans="8:13" ht="14.5" x14ac:dyDescent="0.35">
      <c r="H329" s="363"/>
      <c r="I329" s="129"/>
      <c r="L329" s="134"/>
      <c r="M329" s="136"/>
    </row>
    <row r="330" spans="8:13" ht="14.5" x14ac:dyDescent="0.35">
      <c r="H330" s="363"/>
      <c r="I330" s="129"/>
      <c r="L330" s="134"/>
      <c r="M330" s="136"/>
    </row>
    <row r="331" spans="8:13" ht="14.5" x14ac:dyDescent="0.35">
      <c r="H331" s="363"/>
      <c r="I331" s="129"/>
      <c r="L331" s="134"/>
      <c r="M331" s="136"/>
    </row>
    <row r="332" spans="8:13" ht="14.5" x14ac:dyDescent="0.35">
      <c r="H332" s="363"/>
      <c r="I332" s="129"/>
      <c r="L332" s="134"/>
      <c r="M332" s="136"/>
    </row>
    <row r="333" spans="8:13" ht="14.5" x14ac:dyDescent="0.35">
      <c r="H333" s="363"/>
      <c r="I333" s="129"/>
      <c r="L333" s="134"/>
      <c r="M333" s="136"/>
    </row>
    <row r="334" spans="8:13" ht="14.5" x14ac:dyDescent="0.35">
      <c r="H334" s="363"/>
      <c r="I334" s="129"/>
      <c r="L334" s="134"/>
      <c r="M334" s="136"/>
    </row>
    <row r="335" spans="8:13" ht="14.5" x14ac:dyDescent="0.35">
      <c r="H335" s="363"/>
      <c r="I335" s="129"/>
      <c r="L335" s="134"/>
      <c r="M335" s="136"/>
    </row>
    <row r="336" spans="8:13" ht="14.5" x14ac:dyDescent="0.35">
      <c r="H336" s="363"/>
      <c r="I336" s="129"/>
      <c r="L336" s="134"/>
      <c r="M336" s="136"/>
    </row>
    <row r="337" spans="8:13" ht="14.5" x14ac:dyDescent="0.35">
      <c r="H337" s="363"/>
      <c r="I337" s="129"/>
      <c r="L337" s="134"/>
      <c r="M337" s="136"/>
    </row>
    <row r="338" spans="8:13" ht="14.5" x14ac:dyDescent="0.35">
      <c r="H338" s="363"/>
      <c r="I338" s="129"/>
      <c r="L338" s="134"/>
      <c r="M338" s="136"/>
    </row>
    <row r="339" spans="8:13" ht="14.5" x14ac:dyDescent="0.35">
      <c r="H339" s="363"/>
      <c r="I339" s="129"/>
      <c r="L339" s="134"/>
      <c r="M339" s="136"/>
    </row>
    <row r="340" spans="8:13" ht="14.5" x14ac:dyDescent="0.35">
      <c r="H340" s="363"/>
      <c r="I340" s="129"/>
      <c r="L340" s="134"/>
      <c r="M340" s="136"/>
    </row>
    <row r="341" spans="8:13" ht="14.5" x14ac:dyDescent="0.35">
      <c r="H341" s="363"/>
      <c r="I341" s="129"/>
      <c r="L341" s="134"/>
      <c r="M341" s="136"/>
    </row>
    <row r="342" spans="8:13" ht="14.5" x14ac:dyDescent="0.35">
      <c r="H342" s="363"/>
      <c r="I342" s="129"/>
      <c r="L342" s="134"/>
      <c r="M342" s="136"/>
    </row>
    <row r="343" spans="8:13" ht="14.5" x14ac:dyDescent="0.35">
      <c r="H343" s="363"/>
      <c r="I343" s="129"/>
      <c r="L343" s="134"/>
      <c r="M343" s="136"/>
    </row>
    <row r="344" spans="8:13" ht="14.5" x14ac:dyDescent="0.35">
      <c r="H344" s="363"/>
      <c r="I344" s="129"/>
      <c r="L344" s="134"/>
      <c r="M344" s="136"/>
    </row>
    <row r="345" spans="8:13" ht="14.5" x14ac:dyDescent="0.35">
      <c r="H345" s="363"/>
      <c r="I345" s="129"/>
      <c r="L345" s="134"/>
      <c r="M345" s="136"/>
    </row>
    <row r="346" spans="8:13" ht="14.5" x14ac:dyDescent="0.35">
      <c r="H346" s="363"/>
      <c r="I346" s="129"/>
      <c r="L346" s="134"/>
      <c r="M346" s="136"/>
    </row>
    <row r="347" spans="8:13" ht="14.5" x14ac:dyDescent="0.35">
      <c r="H347" s="363"/>
      <c r="I347" s="129"/>
      <c r="L347" s="134"/>
      <c r="M347" s="136"/>
    </row>
    <row r="348" spans="8:13" ht="14.5" x14ac:dyDescent="0.35">
      <c r="H348" s="363"/>
      <c r="I348" s="129"/>
      <c r="L348" s="134"/>
      <c r="M348" s="136"/>
    </row>
    <row r="349" spans="8:13" ht="14.5" x14ac:dyDescent="0.35">
      <c r="H349" s="363"/>
      <c r="I349" s="129"/>
      <c r="L349" s="134"/>
      <c r="M349" s="136"/>
    </row>
    <row r="350" spans="8:13" ht="14.5" x14ac:dyDescent="0.35">
      <c r="H350" s="363"/>
      <c r="I350" s="129"/>
      <c r="L350" s="134"/>
      <c r="M350" s="136"/>
    </row>
    <row r="351" spans="8:13" ht="14.5" x14ac:dyDescent="0.35">
      <c r="H351" s="363"/>
      <c r="I351" s="129"/>
      <c r="L351" s="134"/>
      <c r="M351" s="136"/>
    </row>
    <row r="352" spans="8:13" ht="14.5" x14ac:dyDescent="0.35">
      <c r="H352" s="363"/>
      <c r="I352" s="129"/>
      <c r="L352" s="134"/>
      <c r="M352" s="136"/>
    </row>
    <row r="353" spans="8:13" ht="14.5" x14ac:dyDescent="0.35">
      <c r="H353" s="363"/>
      <c r="I353" s="129"/>
      <c r="L353" s="134"/>
      <c r="M353" s="136"/>
    </row>
    <row r="354" spans="8:13" ht="14.5" x14ac:dyDescent="0.35">
      <c r="H354" s="363"/>
      <c r="I354" s="129"/>
      <c r="L354" s="134"/>
      <c r="M354" s="136"/>
    </row>
    <row r="355" spans="8:13" ht="14.5" x14ac:dyDescent="0.35">
      <c r="H355" s="363"/>
      <c r="I355" s="129"/>
      <c r="L355" s="134"/>
      <c r="M355" s="136"/>
    </row>
    <row r="356" spans="8:13" ht="14.5" x14ac:dyDescent="0.35">
      <c r="H356" s="363"/>
      <c r="I356" s="129"/>
      <c r="L356" s="134"/>
      <c r="M356" s="136"/>
    </row>
    <row r="357" spans="8:13" ht="14.5" x14ac:dyDescent="0.35">
      <c r="H357" s="363"/>
      <c r="I357" s="129"/>
      <c r="L357" s="134"/>
      <c r="M357" s="136"/>
    </row>
    <row r="358" spans="8:13" ht="14.5" x14ac:dyDescent="0.35">
      <c r="H358" s="363"/>
      <c r="I358" s="129"/>
      <c r="L358" s="134"/>
      <c r="M358" s="136"/>
    </row>
    <row r="359" spans="8:13" ht="14.5" x14ac:dyDescent="0.35">
      <c r="H359" s="363"/>
      <c r="I359" s="129"/>
      <c r="L359" s="134"/>
      <c r="M359" s="136"/>
    </row>
    <row r="360" spans="8:13" ht="14.5" x14ac:dyDescent="0.35">
      <c r="H360" s="363"/>
      <c r="I360" s="129"/>
      <c r="L360" s="134"/>
      <c r="M360" s="136"/>
    </row>
    <row r="361" spans="8:13" ht="14.5" x14ac:dyDescent="0.35">
      <c r="H361" s="363"/>
      <c r="I361" s="129"/>
      <c r="L361" s="134"/>
      <c r="M361" s="136"/>
    </row>
    <row r="362" spans="8:13" ht="14.5" x14ac:dyDescent="0.35">
      <c r="H362" s="363"/>
      <c r="I362" s="129"/>
      <c r="L362" s="134"/>
      <c r="M362" s="136"/>
    </row>
    <row r="363" spans="8:13" ht="14.5" x14ac:dyDescent="0.35">
      <c r="H363" s="363"/>
      <c r="I363" s="129"/>
      <c r="L363" s="134"/>
      <c r="M363" s="136"/>
    </row>
    <row r="364" spans="8:13" ht="14.5" x14ac:dyDescent="0.35">
      <c r="H364" s="363"/>
      <c r="I364" s="129"/>
      <c r="L364" s="134"/>
      <c r="M364" s="136"/>
    </row>
    <row r="365" spans="8:13" ht="14.5" x14ac:dyDescent="0.35">
      <c r="H365" s="363"/>
      <c r="I365" s="129"/>
      <c r="L365" s="134"/>
      <c r="M365" s="136"/>
    </row>
    <row r="366" spans="8:13" ht="14.5" x14ac:dyDescent="0.35">
      <c r="H366" s="363"/>
      <c r="I366" s="129"/>
      <c r="L366" s="134"/>
      <c r="M366" s="136"/>
    </row>
    <row r="367" spans="8:13" ht="14.5" x14ac:dyDescent="0.35">
      <c r="H367" s="363"/>
      <c r="I367" s="129"/>
      <c r="L367" s="134"/>
      <c r="M367" s="136"/>
    </row>
    <row r="368" spans="8:13" ht="14.5" x14ac:dyDescent="0.35">
      <c r="H368" s="363"/>
      <c r="I368" s="129"/>
      <c r="L368" s="134"/>
      <c r="M368" s="136"/>
    </row>
    <row r="369" spans="8:13" ht="14.5" x14ac:dyDescent="0.35">
      <c r="H369" s="363"/>
      <c r="I369" s="129"/>
      <c r="L369" s="134"/>
      <c r="M369" s="136"/>
    </row>
    <row r="370" spans="8:13" ht="14.5" x14ac:dyDescent="0.35">
      <c r="H370" s="363"/>
      <c r="I370" s="129"/>
      <c r="L370" s="134"/>
      <c r="M370" s="136"/>
    </row>
    <row r="371" spans="8:13" ht="14.5" x14ac:dyDescent="0.35">
      <c r="H371" s="363"/>
      <c r="I371" s="129"/>
      <c r="L371" s="134"/>
      <c r="M371" s="136"/>
    </row>
    <row r="372" spans="8:13" ht="14.5" x14ac:dyDescent="0.35">
      <c r="H372" s="363"/>
      <c r="I372" s="129"/>
      <c r="L372" s="134"/>
      <c r="M372" s="136"/>
    </row>
    <row r="373" spans="8:13" ht="14.5" x14ac:dyDescent="0.35">
      <c r="H373" s="363"/>
      <c r="I373" s="129"/>
      <c r="L373" s="134"/>
      <c r="M373" s="136"/>
    </row>
    <row r="374" spans="8:13" ht="14.5" x14ac:dyDescent="0.35">
      <c r="H374" s="363"/>
      <c r="I374" s="129"/>
      <c r="L374" s="134"/>
      <c r="M374" s="136"/>
    </row>
    <row r="375" spans="8:13" ht="14.5" x14ac:dyDescent="0.35">
      <c r="H375" s="363"/>
      <c r="I375" s="129"/>
      <c r="L375" s="134"/>
      <c r="M375" s="136"/>
    </row>
    <row r="376" spans="8:13" ht="14.5" x14ac:dyDescent="0.35">
      <c r="H376" s="363"/>
      <c r="I376" s="129"/>
      <c r="L376" s="134"/>
      <c r="M376" s="136"/>
    </row>
    <row r="377" spans="8:13" ht="14.5" x14ac:dyDescent="0.35">
      <c r="H377" s="363"/>
      <c r="I377" s="129"/>
      <c r="L377" s="134"/>
      <c r="M377" s="136"/>
    </row>
    <row r="378" spans="8:13" ht="14.5" x14ac:dyDescent="0.35">
      <c r="H378" s="363"/>
      <c r="I378" s="129"/>
      <c r="L378" s="134"/>
      <c r="M378" s="136"/>
    </row>
    <row r="379" spans="8:13" ht="14.5" x14ac:dyDescent="0.35">
      <c r="H379" s="363"/>
      <c r="I379" s="129"/>
      <c r="L379" s="134"/>
      <c r="M379" s="136"/>
    </row>
    <row r="380" spans="8:13" ht="14.5" x14ac:dyDescent="0.35">
      <c r="H380" s="363"/>
      <c r="I380" s="129"/>
      <c r="L380" s="134"/>
      <c r="M380" s="136"/>
    </row>
    <row r="381" spans="8:13" ht="14.5" x14ac:dyDescent="0.35">
      <c r="H381" s="363"/>
      <c r="I381" s="129"/>
      <c r="L381" s="134"/>
      <c r="M381" s="136"/>
    </row>
    <row r="382" spans="8:13" ht="14.5" x14ac:dyDescent="0.35">
      <c r="H382" s="363"/>
      <c r="I382" s="129"/>
      <c r="L382" s="134"/>
      <c r="M382" s="136"/>
    </row>
    <row r="383" spans="8:13" ht="14.5" x14ac:dyDescent="0.35">
      <c r="H383" s="363"/>
      <c r="I383" s="129"/>
      <c r="L383" s="134"/>
      <c r="M383" s="136"/>
    </row>
    <row r="384" spans="8:13" ht="14.5" x14ac:dyDescent="0.35">
      <c r="H384" s="363"/>
      <c r="I384" s="129"/>
      <c r="L384" s="134"/>
      <c r="M384" s="136"/>
    </row>
    <row r="385" spans="8:13" ht="14.5" x14ac:dyDescent="0.35">
      <c r="H385" s="363"/>
      <c r="I385" s="129"/>
      <c r="L385" s="134"/>
      <c r="M385" s="136"/>
    </row>
    <row r="386" spans="8:13" ht="14.5" x14ac:dyDescent="0.35">
      <c r="H386" s="363"/>
      <c r="I386" s="129"/>
      <c r="L386" s="134"/>
      <c r="M386" s="136"/>
    </row>
    <row r="387" spans="8:13" ht="14.5" x14ac:dyDescent="0.35">
      <c r="H387" s="363"/>
      <c r="I387" s="129"/>
      <c r="L387" s="134"/>
      <c r="M387" s="136"/>
    </row>
    <row r="388" spans="8:13" ht="14.5" x14ac:dyDescent="0.35">
      <c r="H388" s="363"/>
      <c r="I388" s="129"/>
      <c r="L388" s="134"/>
      <c r="M388" s="136"/>
    </row>
    <row r="389" spans="8:13" ht="14.5" x14ac:dyDescent="0.35">
      <c r="H389" s="363"/>
      <c r="I389" s="129"/>
      <c r="L389" s="134"/>
      <c r="M389" s="136"/>
    </row>
    <row r="390" spans="8:13" ht="14.5" x14ac:dyDescent="0.35">
      <c r="H390" s="363"/>
      <c r="I390" s="129"/>
      <c r="L390" s="134"/>
      <c r="M390" s="136"/>
    </row>
    <row r="391" spans="8:13" ht="14.5" x14ac:dyDescent="0.35">
      <c r="H391" s="363"/>
      <c r="I391" s="129"/>
      <c r="L391" s="134"/>
      <c r="M391" s="136"/>
    </row>
    <row r="392" spans="8:13" ht="14.5" x14ac:dyDescent="0.35">
      <c r="H392" s="363"/>
      <c r="I392" s="129"/>
      <c r="L392" s="134"/>
      <c r="M392" s="136"/>
    </row>
    <row r="393" spans="8:13" ht="14.5" x14ac:dyDescent="0.35">
      <c r="H393" s="363"/>
      <c r="I393" s="129"/>
      <c r="L393" s="134"/>
      <c r="M393" s="136"/>
    </row>
    <row r="394" spans="8:13" ht="14.5" x14ac:dyDescent="0.35">
      <c r="H394" s="363"/>
      <c r="I394" s="129"/>
      <c r="L394" s="134"/>
      <c r="M394" s="136"/>
    </row>
    <row r="395" spans="8:13" ht="14.5" x14ac:dyDescent="0.35">
      <c r="H395" s="363"/>
      <c r="I395" s="129"/>
      <c r="L395" s="134"/>
      <c r="M395" s="136"/>
    </row>
    <row r="396" spans="8:13" ht="14.5" x14ac:dyDescent="0.35">
      <c r="H396" s="363"/>
      <c r="I396" s="129"/>
      <c r="L396" s="134"/>
      <c r="M396" s="136"/>
    </row>
    <row r="397" spans="8:13" ht="14.5" x14ac:dyDescent="0.35">
      <c r="H397" s="363"/>
      <c r="I397" s="129"/>
      <c r="L397" s="134"/>
      <c r="M397" s="136"/>
    </row>
    <row r="398" spans="8:13" ht="14.5" x14ac:dyDescent="0.35">
      <c r="H398" s="363"/>
      <c r="I398" s="129"/>
      <c r="L398" s="134"/>
      <c r="M398" s="136"/>
    </row>
    <row r="399" spans="8:13" ht="14.5" x14ac:dyDescent="0.35">
      <c r="H399" s="363"/>
      <c r="I399" s="129"/>
      <c r="L399" s="134"/>
      <c r="M399" s="136"/>
    </row>
    <row r="400" spans="8:13" ht="14.5" x14ac:dyDescent="0.35">
      <c r="H400" s="363"/>
      <c r="I400" s="129"/>
      <c r="L400" s="134"/>
      <c r="M400" s="136"/>
    </row>
    <row r="401" spans="8:13" ht="14.5" x14ac:dyDescent="0.35">
      <c r="H401" s="363"/>
      <c r="I401" s="129"/>
      <c r="L401" s="134"/>
      <c r="M401" s="136"/>
    </row>
    <row r="402" spans="8:13" ht="14.5" x14ac:dyDescent="0.35">
      <c r="H402" s="363"/>
      <c r="I402" s="129"/>
      <c r="L402" s="134"/>
      <c r="M402" s="136"/>
    </row>
    <row r="403" spans="8:13" ht="14.5" x14ac:dyDescent="0.35">
      <c r="H403" s="363"/>
      <c r="I403" s="129"/>
      <c r="L403" s="134"/>
      <c r="M403" s="136"/>
    </row>
    <row r="404" spans="8:13" ht="14.5" x14ac:dyDescent="0.35">
      <c r="H404" s="363"/>
      <c r="I404" s="129"/>
      <c r="L404" s="134"/>
      <c r="M404" s="136"/>
    </row>
    <row r="405" spans="8:13" ht="14.5" x14ac:dyDescent="0.35">
      <c r="H405" s="363"/>
      <c r="I405" s="129"/>
      <c r="L405" s="134"/>
      <c r="M405" s="136"/>
    </row>
    <row r="406" spans="8:13" ht="14.5" x14ac:dyDescent="0.35">
      <c r="H406" s="363"/>
      <c r="I406" s="129"/>
      <c r="L406" s="134"/>
      <c r="M406" s="136"/>
    </row>
    <row r="407" spans="8:13" ht="14.5" x14ac:dyDescent="0.35">
      <c r="H407" s="363"/>
      <c r="I407" s="129"/>
      <c r="L407" s="134"/>
      <c r="M407" s="136"/>
    </row>
    <row r="408" spans="8:13" ht="14.5" x14ac:dyDescent="0.35">
      <c r="H408" s="363"/>
      <c r="I408" s="129"/>
      <c r="L408" s="134"/>
      <c r="M408" s="136"/>
    </row>
    <row r="409" spans="8:13" ht="14.5" x14ac:dyDescent="0.35">
      <c r="H409" s="363"/>
      <c r="I409" s="129"/>
      <c r="L409" s="134"/>
      <c r="M409" s="136"/>
    </row>
    <row r="410" spans="8:13" ht="14.5" x14ac:dyDescent="0.35">
      <c r="H410" s="363"/>
      <c r="I410" s="129"/>
      <c r="L410" s="134"/>
      <c r="M410" s="136"/>
    </row>
    <row r="411" spans="8:13" ht="14.5" x14ac:dyDescent="0.35">
      <c r="H411" s="363"/>
      <c r="I411" s="129"/>
      <c r="L411" s="134"/>
      <c r="M411" s="136"/>
    </row>
    <row r="412" spans="8:13" ht="14.5" x14ac:dyDescent="0.35">
      <c r="H412" s="363"/>
      <c r="I412" s="129"/>
      <c r="L412" s="134"/>
      <c r="M412" s="136"/>
    </row>
    <row r="413" spans="8:13" ht="14.5" x14ac:dyDescent="0.35">
      <c r="H413" s="363"/>
      <c r="I413" s="129"/>
      <c r="L413" s="134"/>
      <c r="M413" s="136"/>
    </row>
    <row r="414" spans="8:13" ht="14.5" x14ac:dyDescent="0.35">
      <c r="H414" s="363"/>
      <c r="I414" s="129"/>
      <c r="L414" s="134"/>
      <c r="M414" s="136"/>
    </row>
    <row r="415" spans="8:13" ht="14.5" x14ac:dyDescent="0.35">
      <c r="H415" s="363"/>
      <c r="I415" s="129"/>
      <c r="L415" s="134"/>
      <c r="M415" s="136"/>
    </row>
    <row r="416" spans="8:13" ht="14.5" x14ac:dyDescent="0.35">
      <c r="H416" s="363"/>
      <c r="I416" s="129"/>
      <c r="L416" s="134"/>
      <c r="M416" s="136"/>
    </row>
    <row r="417" spans="8:13" ht="14.5" x14ac:dyDescent="0.35">
      <c r="H417" s="363"/>
      <c r="I417" s="129"/>
      <c r="L417" s="134"/>
      <c r="M417" s="136"/>
    </row>
    <row r="418" spans="8:13" ht="14.5" x14ac:dyDescent="0.35">
      <c r="H418" s="363"/>
      <c r="I418" s="129"/>
      <c r="L418" s="134"/>
      <c r="M418" s="136"/>
    </row>
    <row r="419" spans="8:13" ht="14.5" x14ac:dyDescent="0.35">
      <c r="H419" s="363"/>
      <c r="I419" s="129"/>
      <c r="L419" s="134"/>
      <c r="M419" s="136"/>
    </row>
    <row r="420" spans="8:13" ht="14.5" x14ac:dyDescent="0.35">
      <c r="H420" s="363"/>
      <c r="I420" s="129"/>
      <c r="L420" s="134"/>
      <c r="M420" s="136"/>
    </row>
    <row r="421" spans="8:13" ht="14.5" x14ac:dyDescent="0.35">
      <c r="H421" s="363"/>
      <c r="I421" s="129"/>
      <c r="L421" s="134"/>
      <c r="M421" s="136"/>
    </row>
    <row r="422" spans="8:13" ht="14.5" x14ac:dyDescent="0.35">
      <c r="H422" s="363"/>
      <c r="I422" s="129"/>
      <c r="L422" s="134"/>
      <c r="M422" s="136"/>
    </row>
    <row r="423" spans="8:13" ht="14.5" x14ac:dyDescent="0.35">
      <c r="H423" s="363"/>
      <c r="I423" s="129"/>
      <c r="L423" s="134"/>
      <c r="M423" s="136"/>
    </row>
    <row r="424" spans="8:13" ht="14.5" x14ac:dyDescent="0.35">
      <c r="H424" s="363"/>
      <c r="I424" s="129"/>
      <c r="L424" s="134"/>
      <c r="M424" s="136"/>
    </row>
    <row r="425" spans="8:13" ht="14.5" x14ac:dyDescent="0.35">
      <c r="H425" s="363"/>
      <c r="I425" s="129"/>
      <c r="L425" s="134"/>
      <c r="M425" s="136"/>
    </row>
    <row r="426" spans="8:13" ht="14.5" x14ac:dyDescent="0.35">
      <c r="H426" s="363"/>
      <c r="I426" s="129"/>
      <c r="L426" s="134"/>
      <c r="M426" s="136"/>
    </row>
    <row r="427" spans="8:13" ht="14.5" x14ac:dyDescent="0.35">
      <c r="H427" s="363"/>
      <c r="I427" s="129"/>
      <c r="L427" s="134"/>
      <c r="M427" s="136"/>
    </row>
    <row r="428" spans="8:13" ht="14.5" x14ac:dyDescent="0.35">
      <c r="H428" s="363"/>
      <c r="I428" s="129"/>
      <c r="L428" s="134"/>
      <c r="M428" s="136"/>
    </row>
    <row r="429" spans="8:13" ht="14.5" x14ac:dyDescent="0.35">
      <c r="H429" s="363"/>
      <c r="I429" s="129"/>
      <c r="L429" s="134"/>
      <c r="M429" s="136"/>
    </row>
    <row r="430" spans="8:13" ht="14.5" x14ac:dyDescent="0.35">
      <c r="H430" s="363"/>
      <c r="I430" s="129"/>
      <c r="L430" s="134"/>
      <c r="M430" s="136"/>
    </row>
    <row r="431" spans="8:13" ht="14.5" x14ac:dyDescent="0.35">
      <c r="H431" s="363"/>
      <c r="I431" s="129"/>
      <c r="L431" s="134"/>
      <c r="M431" s="136"/>
    </row>
    <row r="432" spans="8:13" ht="14.5" x14ac:dyDescent="0.35">
      <c r="H432" s="363"/>
      <c r="I432" s="129"/>
      <c r="L432" s="134"/>
      <c r="M432" s="136"/>
    </row>
    <row r="433" spans="8:13" ht="14.5" x14ac:dyDescent="0.35">
      <c r="H433" s="363"/>
      <c r="I433" s="129"/>
      <c r="L433" s="134"/>
      <c r="M433" s="136"/>
    </row>
    <row r="434" spans="8:13" ht="14.5" x14ac:dyDescent="0.35">
      <c r="H434" s="363"/>
      <c r="I434" s="129"/>
      <c r="L434" s="134"/>
      <c r="M434" s="136"/>
    </row>
    <row r="435" spans="8:13" ht="14.5" x14ac:dyDescent="0.35">
      <c r="H435" s="363"/>
      <c r="I435" s="129"/>
      <c r="L435" s="134"/>
      <c r="M435" s="136"/>
    </row>
    <row r="436" spans="8:13" ht="14.5" x14ac:dyDescent="0.35">
      <c r="H436" s="363"/>
      <c r="I436" s="129"/>
      <c r="L436" s="134"/>
      <c r="M436" s="136"/>
    </row>
    <row r="437" spans="8:13" ht="14.5" x14ac:dyDescent="0.35">
      <c r="H437" s="363"/>
      <c r="I437" s="129"/>
      <c r="L437" s="134"/>
      <c r="M437" s="136"/>
    </row>
    <row r="438" spans="8:13" ht="14.5" x14ac:dyDescent="0.35">
      <c r="H438" s="363"/>
      <c r="I438" s="129"/>
      <c r="L438" s="134"/>
      <c r="M438" s="136"/>
    </row>
    <row r="439" spans="8:13" ht="14.5" x14ac:dyDescent="0.35">
      <c r="H439" s="363"/>
      <c r="I439" s="129"/>
      <c r="L439" s="134"/>
      <c r="M439" s="136"/>
    </row>
    <row r="440" spans="8:13" ht="14.5" x14ac:dyDescent="0.35">
      <c r="H440" s="363"/>
      <c r="I440" s="129"/>
      <c r="L440" s="134"/>
      <c r="M440" s="136"/>
    </row>
    <row r="441" spans="8:13" ht="14.5" x14ac:dyDescent="0.35">
      <c r="H441" s="363"/>
      <c r="I441" s="129"/>
      <c r="L441" s="134"/>
      <c r="M441" s="136"/>
    </row>
    <row r="442" spans="8:13" ht="14.5" x14ac:dyDescent="0.35">
      <c r="H442" s="363"/>
      <c r="I442" s="129"/>
      <c r="L442" s="134"/>
      <c r="M442" s="136"/>
    </row>
    <row r="443" spans="8:13" ht="14.5" x14ac:dyDescent="0.35">
      <c r="H443" s="363"/>
      <c r="I443" s="129"/>
      <c r="L443" s="134"/>
      <c r="M443" s="136"/>
    </row>
    <row r="444" spans="8:13" ht="14.5" x14ac:dyDescent="0.35">
      <c r="H444" s="363"/>
      <c r="I444" s="129"/>
      <c r="L444" s="134"/>
      <c r="M444" s="136"/>
    </row>
    <row r="445" spans="8:13" ht="14.5" x14ac:dyDescent="0.35">
      <c r="H445" s="363"/>
      <c r="I445" s="129"/>
      <c r="L445" s="134"/>
      <c r="M445" s="136"/>
    </row>
    <row r="446" spans="8:13" ht="14.5" x14ac:dyDescent="0.35">
      <c r="H446" s="363"/>
      <c r="I446" s="129"/>
      <c r="L446" s="134"/>
      <c r="M446" s="136"/>
    </row>
    <row r="447" spans="8:13" ht="14.5" x14ac:dyDescent="0.35">
      <c r="H447" s="363"/>
      <c r="I447" s="129"/>
      <c r="L447" s="134"/>
      <c r="M447" s="136"/>
    </row>
    <row r="448" spans="8:13" ht="14.5" x14ac:dyDescent="0.35">
      <c r="H448" s="363"/>
      <c r="I448" s="129"/>
      <c r="L448" s="134"/>
      <c r="M448" s="136"/>
    </row>
    <row r="449" spans="8:13" ht="14.5" x14ac:dyDescent="0.35">
      <c r="H449" s="363"/>
      <c r="I449" s="129"/>
      <c r="L449" s="134"/>
      <c r="M449" s="136"/>
    </row>
    <row r="450" spans="8:13" ht="14.5" x14ac:dyDescent="0.35">
      <c r="H450" s="363"/>
      <c r="I450" s="129"/>
      <c r="L450" s="134"/>
      <c r="M450" s="136"/>
    </row>
    <row r="451" spans="8:13" ht="14.5" x14ac:dyDescent="0.35">
      <c r="H451" s="363"/>
      <c r="I451" s="129"/>
      <c r="L451" s="134"/>
      <c r="M451" s="136"/>
    </row>
    <row r="452" spans="8:13" ht="14.5" x14ac:dyDescent="0.35">
      <c r="H452" s="363"/>
      <c r="I452" s="129"/>
      <c r="L452" s="134"/>
      <c r="M452" s="136"/>
    </row>
    <row r="453" spans="8:13" ht="14.5" x14ac:dyDescent="0.35">
      <c r="H453" s="363"/>
      <c r="I453" s="129"/>
      <c r="L453" s="134"/>
      <c r="M453" s="136"/>
    </row>
    <row r="454" spans="8:13" ht="14.5" x14ac:dyDescent="0.35">
      <c r="H454" s="363"/>
      <c r="I454" s="129"/>
      <c r="L454" s="134"/>
      <c r="M454" s="136"/>
    </row>
    <row r="455" spans="8:13" ht="14.5" x14ac:dyDescent="0.35">
      <c r="H455" s="363"/>
      <c r="I455" s="129"/>
      <c r="L455" s="134"/>
      <c r="M455" s="136"/>
    </row>
    <row r="456" spans="8:13" ht="14.5" x14ac:dyDescent="0.35">
      <c r="H456" s="363"/>
      <c r="I456" s="129"/>
      <c r="L456" s="134"/>
      <c r="M456" s="136"/>
    </row>
    <row r="457" spans="8:13" ht="14.5" x14ac:dyDescent="0.35">
      <c r="H457" s="363"/>
      <c r="I457" s="129"/>
      <c r="L457" s="134"/>
      <c r="M457" s="136"/>
    </row>
    <row r="458" spans="8:13" ht="14.5" x14ac:dyDescent="0.35">
      <c r="H458" s="363"/>
      <c r="I458" s="129"/>
      <c r="L458" s="134"/>
      <c r="M458" s="136"/>
    </row>
    <row r="459" spans="8:13" ht="14.5" x14ac:dyDescent="0.35">
      <c r="H459" s="363"/>
      <c r="I459" s="129"/>
      <c r="L459" s="134"/>
      <c r="M459" s="136"/>
    </row>
    <row r="460" spans="8:13" ht="14.5" x14ac:dyDescent="0.35">
      <c r="H460" s="363"/>
      <c r="I460" s="129"/>
      <c r="L460" s="134"/>
      <c r="M460" s="136"/>
    </row>
    <row r="461" spans="8:13" ht="14.5" x14ac:dyDescent="0.35">
      <c r="H461" s="363"/>
      <c r="I461" s="129"/>
      <c r="L461" s="134"/>
      <c r="M461" s="136"/>
    </row>
    <row r="462" spans="8:13" ht="14.5" x14ac:dyDescent="0.35">
      <c r="H462" s="363"/>
      <c r="I462" s="129"/>
      <c r="L462" s="134"/>
      <c r="M462" s="136"/>
    </row>
    <row r="463" spans="8:13" ht="14.5" x14ac:dyDescent="0.35">
      <c r="H463" s="363"/>
      <c r="I463" s="129"/>
      <c r="L463" s="134"/>
      <c r="M463" s="136"/>
    </row>
    <row r="464" spans="8:13" ht="14.5" x14ac:dyDescent="0.35">
      <c r="H464" s="363"/>
      <c r="I464" s="129"/>
      <c r="L464" s="134"/>
      <c r="M464" s="136"/>
    </row>
    <row r="465" spans="8:13" ht="14.5" x14ac:dyDescent="0.35">
      <c r="H465" s="363"/>
      <c r="I465" s="129"/>
      <c r="L465" s="134"/>
      <c r="M465" s="136"/>
    </row>
    <row r="466" spans="8:13" ht="14.5" x14ac:dyDescent="0.35">
      <c r="H466" s="363"/>
      <c r="I466" s="129"/>
      <c r="L466" s="134"/>
      <c r="M466" s="136"/>
    </row>
    <row r="467" spans="8:13" ht="14.5" x14ac:dyDescent="0.35">
      <c r="H467" s="363"/>
      <c r="I467" s="129"/>
      <c r="L467" s="134"/>
      <c r="M467" s="136"/>
    </row>
    <row r="468" spans="8:13" ht="14.5" x14ac:dyDescent="0.35">
      <c r="H468" s="363"/>
      <c r="I468" s="129"/>
      <c r="L468" s="134"/>
      <c r="M468" s="136"/>
    </row>
    <row r="469" spans="8:13" ht="14.5" x14ac:dyDescent="0.35">
      <c r="H469" s="363"/>
      <c r="I469" s="129"/>
      <c r="L469" s="134"/>
      <c r="M469" s="136"/>
    </row>
    <row r="470" spans="8:13" ht="14.5" x14ac:dyDescent="0.35">
      <c r="H470" s="363"/>
      <c r="I470" s="129"/>
      <c r="L470" s="134"/>
      <c r="M470" s="136"/>
    </row>
    <row r="471" spans="8:13" ht="14.5" x14ac:dyDescent="0.35">
      <c r="H471" s="363"/>
      <c r="I471" s="129"/>
      <c r="L471" s="134"/>
      <c r="M471" s="136"/>
    </row>
    <row r="472" spans="8:13" ht="14.5" x14ac:dyDescent="0.35">
      <c r="H472" s="363"/>
      <c r="I472" s="129"/>
      <c r="L472" s="134"/>
      <c r="M472" s="136"/>
    </row>
    <row r="473" spans="8:13" ht="14.5" x14ac:dyDescent="0.35">
      <c r="H473" s="363"/>
      <c r="I473" s="129"/>
      <c r="L473" s="134"/>
      <c r="M473" s="136"/>
    </row>
    <row r="474" spans="8:13" ht="14.5" x14ac:dyDescent="0.35">
      <c r="H474" s="363"/>
      <c r="I474" s="129"/>
      <c r="L474" s="134"/>
      <c r="M474" s="136"/>
    </row>
    <row r="475" spans="8:13" ht="14.5" x14ac:dyDescent="0.35">
      <c r="H475" s="363"/>
      <c r="I475" s="129"/>
      <c r="L475" s="134"/>
      <c r="M475" s="136"/>
    </row>
    <row r="476" spans="8:13" ht="14.5" x14ac:dyDescent="0.35">
      <c r="H476" s="363"/>
      <c r="I476" s="129"/>
      <c r="L476" s="134"/>
      <c r="M476" s="136"/>
    </row>
    <row r="477" spans="8:13" ht="14.5" x14ac:dyDescent="0.35">
      <c r="H477" s="363"/>
      <c r="I477" s="129"/>
      <c r="L477" s="134"/>
      <c r="M477" s="136"/>
    </row>
    <row r="478" spans="8:13" ht="14.5" x14ac:dyDescent="0.35">
      <c r="H478" s="363"/>
      <c r="I478" s="129"/>
      <c r="L478" s="134"/>
      <c r="M478" s="136"/>
    </row>
    <row r="479" spans="8:13" ht="14.5" x14ac:dyDescent="0.35">
      <c r="H479" s="363"/>
      <c r="I479" s="129"/>
      <c r="L479" s="134"/>
      <c r="M479" s="136"/>
    </row>
    <row r="480" spans="8:13" ht="14.5" x14ac:dyDescent="0.35">
      <c r="H480" s="363"/>
      <c r="I480" s="129"/>
      <c r="L480" s="134"/>
      <c r="M480" s="136"/>
    </row>
    <row r="481" spans="8:13" ht="14.5" x14ac:dyDescent="0.35">
      <c r="H481" s="363"/>
      <c r="I481" s="129"/>
      <c r="L481" s="134"/>
      <c r="M481" s="136"/>
    </row>
    <row r="482" spans="8:13" ht="14.5" x14ac:dyDescent="0.35">
      <c r="H482" s="363"/>
      <c r="I482" s="129"/>
      <c r="L482" s="134"/>
      <c r="M482" s="136"/>
    </row>
    <row r="483" spans="8:13" ht="14.5" x14ac:dyDescent="0.35">
      <c r="H483" s="363"/>
      <c r="I483" s="129"/>
      <c r="L483" s="134"/>
      <c r="M483" s="136"/>
    </row>
    <row r="484" spans="8:13" ht="14.5" x14ac:dyDescent="0.35">
      <c r="H484" s="363"/>
      <c r="I484" s="129"/>
      <c r="L484" s="134"/>
      <c r="M484" s="136"/>
    </row>
    <row r="485" spans="8:13" ht="14.5" x14ac:dyDescent="0.35">
      <c r="H485" s="363"/>
      <c r="I485" s="129"/>
      <c r="L485" s="134"/>
      <c r="M485" s="136"/>
    </row>
    <row r="486" spans="8:13" ht="14.5" x14ac:dyDescent="0.35">
      <c r="H486" s="363"/>
      <c r="I486" s="129"/>
      <c r="L486" s="134"/>
      <c r="M486" s="136"/>
    </row>
    <row r="487" spans="8:13" ht="14.5" x14ac:dyDescent="0.35">
      <c r="H487" s="363"/>
      <c r="I487" s="129"/>
      <c r="L487" s="134"/>
      <c r="M487" s="136"/>
    </row>
    <row r="488" spans="8:13" ht="14.5" x14ac:dyDescent="0.35">
      <c r="H488" s="363"/>
      <c r="I488" s="129"/>
      <c r="L488" s="134"/>
      <c r="M488" s="136"/>
    </row>
    <row r="489" spans="8:13" ht="14.5" x14ac:dyDescent="0.35">
      <c r="H489" s="363"/>
      <c r="I489" s="129"/>
      <c r="L489" s="134"/>
      <c r="M489" s="136"/>
    </row>
    <row r="490" spans="8:13" ht="14.5" x14ac:dyDescent="0.35">
      <c r="H490" s="363"/>
      <c r="I490" s="129"/>
      <c r="L490" s="134"/>
      <c r="M490" s="136"/>
    </row>
    <row r="491" spans="8:13" ht="14.5" x14ac:dyDescent="0.35">
      <c r="H491" s="363"/>
      <c r="I491" s="129"/>
      <c r="L491" s="134"/>
      <c r="M491" s="136"/>
    </row>
    <row r="492" spans="8:13" ht="14.5" x14ac:dyDescent="0.35">
      <c r="H492" s="363"/>
      <c r="I492" s="129"/>
      <c r="L492" s="134"/>
      <c r="M492" s="136"/>
    </row>
    <row r="493" spans="8:13" ht="14.5" x14ac:dyDescent="0.35">
      <c r="H493" s="363"/>
      <c r="I493" s="129"/>
      <c r="L493" s="134"/>
      <c r="M493" s="136"/>
    </row>
    <row r="494" spans="8:13" ht="14.5" x14ac:dyDescent="0.35">
      <c r="H494" s="363"/>
      <c r="I494" s="129"/>
      <c r="L494" s="134"/>
      <c r="M494" s="136"/>
    </row>
    <row r="495" spans="8:13" ht="14.5" x14ac:dyDescent="0.35">
      <c r="H495" s="363"/>
      <c r="I495" s="129"/>
      <c r="L495" s="134"/>
      <c r="M495" s="136"/>
    </row>
    <row r="496" spans="8:13" ht="14.5" x14ac:dyDescent="0.35">
      <c r="H496" s="363"/>
      <c r="I496" s="129"/>
      <c r="L496" s="134"/>
      <c r="M496" s="136"/>
    </row>
    <row r="497" spans="8:13" ht="14.5" x14ac:dyDescent="0.35">
      <c r="H497" s="363"/>
      <c r="I497" s="129"/>
      <c r="L497" s="134"/>
      <c r="M497" s="136"/>
    </row>
    <row r="498" spans="8:13" ht="14.5" x14ac:dyDescent="0.35">
      <c r="H498" s="363"/>
      <c r="I498" s="129"/>
      <c r="L498" s="134"/>
      <c r="M498" s="136"/>
    </row>
    <row r="499" spans="8:13" ht="14.5" x14ac:dyDescent="0.35">
      <c r="H499" s="363"/>
      <c r="I499" s="129"/>
      <c r="L499" s="134"/>
      <c r="M499" s="136"/>
    </row>
    <row r="500" spans="8:13" ht="14.5" x14ac:dyDescent="0.35">
      <c r="H500" s="363"/>
      <c r="I500" s="129"/>
      <c r="L500" s="134"/>
      <c r="M500" s="136"/>
    </row>
    <row r="501" spans="8:13" ht="14.5" x14ac:dyDescent="0.35">
      <c r="H501" s="363"/>
      <c r="I501" s="129"/>
      <c r="L501" s="134"/>
      <c r="M501" s="136"/>
    </row>
    <row r="502" spans="8:13" ht="14.5" x14ac:dyDescent="0.35">
      <c r="H502" s="363"/>
      <c r="I502" s="129"/>
      <c r="L502" s="134"/>
      <c r="M502" s="136"/>
    </row>
    <row r="503" spans="8:13" ht="14.5" x14ac:dyDescent="0.35">
      <c r="H503" s="363"/>
      <c r="I503" s="129"/>
      <c r="L503" s="134"/>
      <c r="M503" s="136"/>
    </row>
    <row r="504" spans="8:13" ht="14.5" x14ac:dyDescent="0.35">
      <c r="H504" s="363"/>
      <c r="I504" s="129"/>
      <c r="L504" s="134"/>
      <c r="M504" s="136"/>
    </row>
    <row r="505" spans="8:13" ht="14.5" x14ac:dyDescent="0.35">
      <c r="H505" s="363"/>
      <c r="I505" s="129"/>
      <c r="L505" s="134"/>
      <c r="M505" s="136"/>
    </row>
    <row r="506" spans="8:13" ht="14.5" x14ac:dyDescent="0.35">
      <c r="H506" s="363"/>
      <c r="I506" s="129"/>
      <c r="L506" s="134"/>
      <c r="M506" s="136"/>
    </row>
    <row r="507" spans="8:13" ht="14.5" x14ac:dyDescent="0.35">
      <c r="H507" s="363"/>
      <c r="I507" s="129"/>
      <c r="L507" s="134"/>
      <c r="M507" s="136"/>
    </row>
    <row r="508" spans="8:13" ht="14.5" x14ac:dyDescent="0.35">
      <c r="H508" s="363"/>
      <c r="I508" s="129"/>
      <c r="L508" s="134"/>
      <c r="M508" s="136"/>
    </row>
    <row r="509" spans="8:13" ht="14.5" x14ac:dyDescent="0.35">
      <c r="H509" s="363"/>
      <c r="I509" s="129"/>
      <c r="L509" s="134"/>
      <c r="M509" s="136"/>
    </row>
    <row r="510" spans="8:13" ht="14.5" x14ac:dyDescent="0.35">
      <c r="H510" s="363"/>
      <c r="I510" s="129"/>
      <c r="L510" s="134"/>
      <c r="M510" s="136"/>
    </row>
    <row r="511" spans="8:13" ht="14.5" x14ac:dyDescent="0.35">
      <c r="H511" s="363"/>
      <c r="I511" s="129"/>
      <c r="L511" s="134"/>
      <c r="M511" s="136"/>
    </row>
    <row r="512" spans="8:13" ht="14.5" x14ac:dyDescent="0.35">
      <c r="H512" s="363"/>
      <c r="I512" s="129"/>
      <c r="L512" s="134"/>
      <c r="M512" s="136"/>
    </row>
    <row r="513" spans="8:13" ht="14.5" x14ac:dyDescent="0.35">
      <c r="H513" s="363"/>
      <c r="I513" s="129"/>
      <c r="L513" s="134"/>
      <c r="M513" s="136"/>
    </row>
    <row r="514" spans="8:13" ht="14.5" x14ac:dyDescent="0.35">
      <c r="H514" s="363"/>
      <c r="I514" s="129"/>
      <c r="L514" s="134"/>
      <c r="M514" s="136"/>
    </row>
    <row r="515" spans="8:13" ht="14.5" x14ac:dyDescent="0.35">
      <c r="H515" s="363"/>
      <c r="I515" s="129"/>
      <c r="L515" s="134"/>
      <c r="M515" s="136"/>
    </row>
    <row r="516" spans="8:13" ht="14.5" x14ac:dyDescent="0.35">
      <c r="H516" s="363"/>
      <c r="I516" s="129"/>
      <c r="L516" s="134"/>
      <c r="M516" s="136"/>
    </row>
    <row r="517" spans="8:13" ht="14.5" x14ac:dyDescent="0.35">
      <c r="H517" s="363"/>
      <c r="I517" s="129"/>
      <c r="L517" s="134"/>
      <c r="M517" s="136"/>
    </row>
    <row r="518" spans="8:13" ht="14.5" x14ac:dyDescent="0.35">
      <c r="H518" s="363"/>
      <c r="I518" s="129"/>
      <c r="L518" s="134"/>
      <c r="M518" s="136"/>
    </row>
    <row r="519" spans="8:13" ht="14.5" x14ac:dyDescent="0.35">
      <c r="H519" s="363"/>
      <c r="I519" s="129"/>
      <c r="L519" s="134"/>
      <c r="M519" s="136"/>
    </row>
    <row r="520" spans="8:13" ht="14.5" x14ac:dyDescent="0.35">
      <c r="H520" s="363"/>
      <c r="I520" s="129"/>
      <c r="L520" s="134"/>
      <c r="M520" s="136"/>
    </row>
    <row r="521" spans="8:13" ht="14.5" x14ac:dyDescent="0.35">
      <c r="H521" s="363"/>
      <c r="I521" s="129"/>
      <c r="L521" s="134"/>
      <c r="M521" s="136"/>
    </row>
    <row r="522" spans="8:13" ht="14.5" x14ac:dyDescent="0.35">
      <c r="H522" s="363"/>
      <c r="I522" s="129"/>
      <c r="L522" s="134"/>
      <c r="M522" s="136"/>
    </row>
    <row r="523" spans="8:13" ht="14.5" x14ac:dyDescent="0.35">
      <c r="H523" s="363"/>
      <c r="I523" s="129"/>
      <c r="L523" s="134"/>
      <c r="M523" s="136"/>
    </row>
    <row r="524" spans="8:13" ht="14.5" x14ac:dyDescent="0.35">
      <c r="H524" s="363"/>
      <c r="I524" s="129"/>
      <c r="L524" s="134"/>
      <c r="M524" s="136"/>
    </row>
    <row r="525" spans="8:13" ht="14.5" x14ac:dyDescent="0.35">
      <c r="H525" s="363"/>
      <c r="I525" s="129"/>
      <c r="L525" s="134"/>
      <c r="M525" s="136"/>
    </row>
    <row r="526" spans="8:13" ht="14.5" x14ac:dyDescent="0.35">
      <c r="H526" s="363"/>
      <c r="I526" s="129"/>
      <c r="L526" s="134"/>
      <c r="M526" s="136"/>
    </row>
    <row r="527" spans="8:13" ht="14.5" x14ac:dyDescent="0.35">
      <c r="H527" s="363"/>
      <c r="I527" s="129"/>
      <c r="L527" s="134"/>
      <c r="M527" s="136"/>
    </row>
    <row r="528" spans="8:13" ht="14.5" x14ac:dyDescent="0.35">
      <c r="H528" s="363"/>
      <c r="I528" s="129"/>
      <c r="L528" s="134"/>
      <c r="M528" s="136"/>
    </row>
    <row r="529" spans="8:13" ht="14.5" x14ac:dyDescent="0.35">
      <c r="H529" s="363"/>
      <c r="I529" s="129"/>
      <c r="L529" s="134"/>
      <c r="M529" s="136"/>
    </row>
    <row r="530" spans="8:13" ht="14.5" x14ac:dyDescent="0.35">
      <c r="H530" s="363"/>
      <c r="I530" s="129"/>
      <c r="L530" s="134"/>
      <c r="M530" s="136"/>
    </row>
    <row r="531" spans="8:13" ht="14.5" x14ac:dyDescent="0.35">
      <c r="H531" s="363"/>
      <c r="I531" s="129"/>
      <c r="L531" s="134"/>
      <c r="M531" s="136"/>
    </row>
    <row r="532" spans="8:13" ht="14.5" x14ac:dyDescent="0.35">
      <c r="H532" s="363"/>
      <c r="I532" s="129"/>
      <c r="L532" s="134"/>
      <c r="M532" s="136"/>
    </row>
    <row r="533" spans="8:13" ht="14.5" x14ac:dyDescent="0.35">
      <c r="H533" s="363"/>
      <c r="I533" s="129"/>
      <c r="L533" s="134"/>
      <c r="M533" s="136"/>
    </row>
    <row r="534" spans="8:13" ht="14.5" x14ac:dyDescent="0.35">
      <c r="H534" s="363"/>
      <c r="I534" s="129"/>
      <c r="L534" s="134"/>
      <c r="M534" s="136"/>
    </row>
    <row r="535" spans="8:13" ht="14.5" x14ac:dyDescent="0.35">
      <c r="H535" s="363"/>
      <c r="I535" s="129"/>
      <c r="L535" s="134"/>
      <c r="M535" s="136"/>
    </row>
    <row r="536" spans="8:13" ht="14.5" x14ac:dyDescent="0.35">
      <c r="H536" s="363"/>
      <c r="I536" s="129"/>
      <c r="L536" s="134"/>
      <c r="M536" s="136"/>
    </row>
    <row r="537" spans="8:13" ht="14.5" x14ac:dyDescent="0.35">
      <c r="H537" s="363"/>
      <c r="I537" s="129"/>
      <c r="L537" s="134"/>
      <c r="M537" s="136"/>
    </row>
    <row r="538" spans="8:13" ht="14.5" x14ac:dyDescent="0.35">
      <c r="H538" s="363"/>
      <c r="I538" s="129"/>
      <c r="L538" s="134"/>
      <c r="M538" s="136"/>
    </row>
    <row r="539" spans="8:13" ht="14.5" x14ac:dyDescent="0.35">
      <c r="H539" s="363"/>
      <c r="I539" s="129"/>
      <c r="L539" s="134"/>
      <c r="M539" s="136"/>
    </row>
    <row r="540" spans="8:13" ht="14.5" x14ac:dyDescent="0.35">
      <c r="H540" s="363"/>
      <c r="I540" s="129"/>
      <c r="L540" s="134"/>
      <c r="M540" s="136"/>
    </row>
    <row r="541" spans="8:13" ht="14.5" x14ac:dyDescent="0.35">
      <c r="H541" s="363"/>
      <c r="I541" s="129"/>
      <c r="L541" s="134"/>
      <c r="M541" s="136"/>
    </row>
    <row r="542" spans="8:13" ht="14.5" x14ac:dyDescent="0.35">
      <c r="H542" s="363"/>
      <c r="I542" s="129"/>
      <c r="L542" s="134"/>
      <c r="M542" s="136"/>
    </row>
    <row r="543" spans="8:13" ht="14.5" x14ac:dyDescent="0.35">
      <c r="H543" s="363"/>
      <c r="I543" s="129"/>
      <c r="L543" s="134"/>
      <c r="M543" s="136"/>
    </row>
    <row r="544" spans="8:13" ht="14.5" x14ac:dyDescent="0.35">
      <c r="H544" s="363"/>
      <c r="I544" s="129"/>
      <c r="L544" s="134"/>
      <c r="M544" s="136"/>
    </row>
    <row r="545" spans="8:13" ht="14.5" x14ac:dyDescent="0.35">
      <c r="H545" s="363"/>
      <c r="I545" s="129"/>
      <c r="L545" s="134"/>
      <c r="M545" s="136"/>
    </row>
    <row r="546" spans="8:13" ht="14.5" x14ac:dyDescent="0.35">
      <c r="H546" s="363"/>
      <c r="I546" s="129"/>
      <c r="L546" s="134"/>
      <c r="M546" s="136"/>
    </row>
    <row r="547" spans="8:13" ht="14.5" x14ac:dyDescent="0.35">
      <c r="H547" s="363"/>
      <c r="I547" s="129"/>
      <c r="L547" s="134"/>
      <c r="M547" s="136"/>
    </row>
    <row r="548" spans="8:13" ht="14.5" x14ac:dyDescent="0.35">
      <c r="H548" s="363"/>
      <c r="I548" s="129"/>
      <c r="L548" s="134"/>
      <c r="M548" s="136"/>
    </row>
    <row r="549" spans="8:13" ht="14.5" x14ac:dyDescent="0.35">
      <c r="H549" s="363"/>
      <c r="I549" s="129"/>
      <c r="L549" s="134"/>
      <c r="M549" s="136"/>
    </row>
    <row r="550" spans="8:13" ht="14.5" x14ac:dyDescent="0.35">
      <c r="H550" s="363"/>
      <c r="I550" s="129"/>
      <c r="L550" s="134"/>
      <c r="M550" s="136"/>
    </row>
    <row r="551" spans="8:13" ht="14.5" x14ac:dyDescent="0.35">
      <c r="H551" s="363"/>
      <c r="I551" s="129"/>
      <c r="L551" s="134"/>
      <c r="M551" s="136"/>
    </row>
    <row r="552" spans="8:13" ht="14.5" x14ac:dyDescent="0.35">
      <c r="H552" s="363"/>
      <c r="I552" s="129"/>
      <c r="L552" s="134"/>
      <c r="M552" s="136"/>
    </row>
    <row r="553" spans="8:13" ht="14.5" x14ac:dyDescent="0.35">
      <c r="H553" s="363"/>
      <c r="I553" s="129"/>
      <c r="L553" s="134"/>
      <c r="M553" s="136"/>
    </row>
    <row r="554" spans="8:13" ht="14.5" x14ac:dyDescent="0.35">
      <c r="H554" s="363"/>
      <c r="I554" s="129"/>
      <c r="L554" s="134"/>
      <c r="M554" s="136"/>
    </row>
    <row r="555" spans="8:13" ht="14.5" x14ac:dyDescent="0.35">
      <c r="H555" s="363"/>
      <c r="I555" s="129"/>
      <c r="L555" s="134"/>
      <c r="M555" s="136"/>
    </row>
    <row r="556" spans="8:13" ht="14.5" x14ac:dyDescent="0.35">
      <c r="H556" s="363"/>
      <c r="I556" s="129"/>
      <c r="L556" s="134"/>
      <c r="M556" s="136"/>
    </row>
    <row r="557" spans="8:13" ht="14.5" x14ac:dyDescent="0.35">
      <c r="H557" s="363"/>
      <c r="I557" s="129"/>
      <c r="L557" s="134"/>
      <c r="M557" s="136"/>
    </row>
    <row r="558" spans="8:13" ht="14.5" x14ac:dyDescent="0.35">
      <c r="H558" s="363"/>
      <c r="I558" s="129"/>
      <c r="L558" s="134"/>
      <c r="M558" s="136"/>
    </row>
    <row r="559" spans="8:13" ht="14.5" x14ac:dyDescent="0.35">
      <c r="H559" s="363"/>
      <c r="I559" s="129"/>
      <c r="L559" s="134"/>
      <c r="M559" s="136"/>
    </row>
    <row r="560" spans="8:13" ht="14.5" x14ac:dyDescent="0.35">
      <c r="H560" s="363"/>
      <c r="I560" s="129"/>
      <c r="L560" s="134"/>
      <c r="M560" s="136"/>
    </row>
    <row r="561" spans="8:13" ht="14.5" x14ac:dyDescent="0.35">
      <c r="H561" s="363"/>
      <c r="I561" s="129"/>
      <c r="L561" s="134"/>
      <c r="M561" s="136"/>
    </row>
    <row r="562" spans="8:13" ht="14.5" x14ac:dyDescent="0.35">
      <c r="H562" s="363"/>
      <c r="I562" s="129"/>
      <c r="L562" s="134"/>
      <c r="M562" s="136"/>
    </row>
    <row r="563" spans="8:13" ht="14.5" x14ac:dyDescent="0.35">
      <c r="H563" s="363"/>
      <c r="I563" s="129"/>
      <c r="L563" s="134"/>
      <c r="M563" s="136"/>
    </row>
    <row r="564" spans="8:13" ht="14.5" x14ac:dyDescent="0.35">
      <c r="H564" s="363"/>
      <c r="I564" s="129"/>
      <c r="L564" s="134"/>
      <c r="M564" s="136"/>
    </row>
    <row r="565" spans="8:13" ht="14.5" x14ac:dyDescent="0.35">
      <c r="H565" s="363"/>
      <c r="I565" s="129"/>
      <c r="L565" s="134"/>
      <c r="M565" s="136"/>
    </row>
    <row r="566" spans="8:13" ht="14.5" x14ac:dyDescent="0.35">
      <c r="H566" s="363"/>
      <c r="I566" s="129"/>
      <c r="L566" s="134"/>
      <c r="M566" s="136"/>
    </row>
    <row r="567" spans="8:13" ht="14.5" x14ac:dyDescent="0.35">
      <c r="H567" s="363"/>
      <c r="I567" s="129"/>
      <c r="L567" s="134"/>
      <c r="M567" s="136"/>
    </row>
    <row r="568" spans="8:13" ht="14.5" x14ac:dyDescent="0.35">
      <c r="H568" s="363"/>
      <c r="I568" s="129"/>
      <c r="L568" s="134"/>
      <c r="M568" s="136"/>
    </row>
    <row r="569" spans="8:13" ht="14.5" x14ac:dyDescent="0.35">
      <c r="H569" s="363"/>
      <c r="I569" s="129"/>
      <c r="L569" s="134"/>
      <c r="M569" s="136"/>
    </row>
    <row r="570" spans="8:13" ht="14.5" x14ac:dyDescent="0.35">
      <c r="H570" s="363"/>
      <c r="I570" s="129"/>
      <c r="L570" s="134"/>
      <c r="M570" s="136"/>
    </row>
    <row r="571" spans="8:13" ht="14.5" x14ac:dyDescent="0.35">
      <c r="H571" s="363"/>
      <c r="I571" s="129"/>
      <c r="L571" s="134"/>
      <c r="M571" s="136"/>
    </row>
    <row r="572" spans="8:13" ht="14.5" x14ac:dyDescent="0.35">
      <c r="H572" s="363"/>
      <c r="I572" s="129"/>
      <c r="L572" s="134"/>
      <c r="M572" s="136"/>
    </row>
    <row r="573" spans="8:13" ht="14.5" x14ac:dyDescent="0.35">
      <c r="H573" s="363"/>
      <c r="I573" s="129"/>
      <c r="L573" s="134"/>
      <c r="M573" s="136"/>
    </row>
    <row r="574" spans="8:13" ht="14.5" x14ac:dyDescent="0.35">
      <c r="H574" s="363"/>
      <c r="I574" s="129"/>
      <c r="L574" s="134"/>
      <c r="M574" s="136"/>
    </row>
    <row r="575" spans="8:13" ht="14.5" x14ac:dyDescent="0.35">
      <c r="H575" s="363"/>
      <c r="I575" s="129"/>
      <c r="L575" s="134"/>
      <c r="M575" s="136"/>
    </row>
    <row r="576" spans="8:13" ht="14.5" x14ac:dyDescent="0.35">
      <c r="H576" s="363"/>
      <c r="I576" s="129"/>
      <c r="L576" s="134"/>
      <c r="M576" s="136"/>
    </row>
    <row r="577" spans="8:13" ht="14.5" x14ac:dyDescent="0.35">
      <c r="H577" s="363"/>
      <c r="I577" s="129"/>
      <c r="L577" s="134"/>
      <c r="M577" s="136"/>
    </row>
    <row r="578" spans="8:13" ht="14.5" x14ac:dyDescent="0.35">
      <c r="H578" s="363"/>
      <c r="I578" s="129"/>
      <c r="L578" s="134"/>
      <c r="M578" s="136"/>
    </row>
    <row r="579" spans="8:13" ht="14.5" x14ac:dyDescent="0.35">
      <c r="H579" s="363"/>
      <c r="I579" s="129"/>
      <c r="L579" s="134"/>
      <c r="M579" s="136"/>
    </row>
    <row r="580" spans="8:13" ht="14.5" x14ac:dyDescent="0.35">
      <c r="H580" s="363"/>
      <c r="I580" s="129"/>
      <c r="L580" s="134"/>
      <c r="M580" s="136"/>
    </row>
    <row r="581" spans="8:13" ht="14.5" x14ac:dyDescent="0.35">
      <c r="H581" s="363"/>
      <c r="I581" s="129"/>
      <c r="L581" s="134"/>
      <c r="M581" s="136"/>
    </row>
    <row r="582" spans="8:13" ht="14.5" x14ac:dyDescent="0.35">
      <c r="H582" s="363"/>
      <c r="I582" s="129"/>
      <c r="L582" s="134"/>
      <c r="M582" s="136"/>
    </row>
    <row r="583" spans="8:13" ht="14.5" x14ac:dyDescent="0.35">
      <c r="H583" s="363"/>
      <c r="I583" s="129"/>
      <c r="L583" s="134"/>
      <c r="M583" s="136"/>
    </row>
    <row r="584" spans="8:13" ht="14.5" x14ac:dyDescent="0.35">
      <c r="H584" s="363"/>
      <c r="I584" s="129"/>
      <c r="L584" s="134"/>
      <c r="M584" s="136"/>
    </row>
    <row r="585" spans="8:13" ht="14.5" x14ac:dyDescent="0.35">
      <c r="H585" s="363"/>
      <c r="I585" s="129"/>
      <c r="L585" s="134"/>
      <c r="M585" s="136"/>
    </row>
    <row r="586" spans="8:13" ht="14.5" x14ac:dyDescent="0.35">
      <c r="H586" s="363"/>
      <c r="I586" s="129"/>
      <c r="L586" s="134"/>
      <c r="M586" s="136"/>
    </row>
    <row r="587" spans="8:13" ht="14.5" x14ac:dyDescent="0.35">
      <c r="H587" s="363"/>
      <c r="I587" s="129"/>
      <c r="L587" s="134"/>
      <c r="M587" s="136"/>
    </row>
    <row r="588" spans="8:13" ht="14.5" x14ac:dyDescent="0.35">
      <c r="H588" s="363"/>
      <c r="I588" s="129"/>
      <c r="L588" s="134"/>
      <c r="M588" s="136"/>
    </row>
    <row r="589" spans="8:13" ht="14.5" x14ac:dyDescent="0.35">
      <c r="H589" s="363"/>
      <c r="I589" s="129"/>
      <c r="L589" s="134"/>
      <c r="M589" s="136"/>
    </row>
    <row r="590" spans="8:13" ht="14.5" x14ac:dyDescent="0.35">
      <c r="H590" s="363"/>
      <c r="I590" s="129"/>
      <c r="L590" s="134"/>
      <c r="M590" s="136"/>
    </row>
    <row r="591" spans="8:13" ht="14.5" x14ac:dyDescent="0.35">
      <c r="H591" s="363"/>
      <c r="I591" s="129"/>
      <c r="L591" s="134"/>
      <c r="M591" s="136"/>
    </row>
    <row r="592" spans="8:13" ht="14.5" x14ac:dyDescent="0.35">
      <c r="H592" s="363"/>
      <c r="I592" s="129"/>
      <c r="L592" s="134"/>
      <c r="M592" s="136"/>
    </row>
    <row r="593" spans="8:13" ht="14.5" x14ac:dyDescent="0.35">
      <c r="H593" s="363"/>
      <c r="I593" s="129"/>
      <c r="L593" s="134"/>
      <c r="M593" s="136"/>
    </row>
    <row r="594" spans="8:13" ht="14.5" x14ac:dyDescent="0.35">
      <c r="H594" s="363"/>
      <c r="I594" s="129"/>
      <c r="L594" s="134"/>
      <c r="M594" s="136"/>
    </row>
    <row r="595" spans="8:13" ht="14.5" x14ac:dyDescent="0.35">
      <c r="H595" s="363"/>
      <c r="I595" s="129"/>
      <c r="L595" s="134"/>
      <c r="M595" s="136"/>
    </row>
    <row r="596" spans="8:13" ht="14.5" x14ac:dyDescent="0.35">
      <c r="H596" s="363"/>
      <c r="I596" s="129"/>
      <c r="L596" s="134"/>
      <c r="M596" s="136"/>
    </row>
    <row r="597" spans="8:13" ht="14.5" x14ac:dyDescent="0.35">
      <c r="H597" s="363"/>
      <c r="I597" s="129"/>
      <c r="L597" s="134"/>
      <c r="M597" s="136"/>
    </row>
    <row r="598" spans="8:13" ht="14.5" x14ac:dyDescent="0.35">
      <c r="H598" s="363"/>
      <c r="I598" s="129"/>
      <c r="L598" s="134"/>
      <c r="M598" s="136"/>
    </row>
    <row r="599" spans="8:13" ht="14.5" x14ac:dyDescent="0.35">
      <c r="H599" s="363"/>
      <c r="I599" s="129"/>
      <c r="L599" s="134"/>
      <c r="M599" s="136"/>
    </row>
    <row r="600" spans="8:13" ht="14.5" x14ac:dyDescent="0.35">
      <c r="H600" s="363"/>
      <c r="I600" s="129"/>
      <c r="L600" s="134"/>
      <c r="M600" s="136"/>
    </row>
    <row r="601" spans="8:13" ht="14.5" x14ac:dyDescent="0.35">
      <c r="H601" s="363"/>
      <c r="I601" s="129"/>
      <c r="L601" s="134"/>
      <c r="M601" s="136"/>
    </row>
    <row r="602" spans="8:13" ht="14.5" x14ac:dyDescent="0.35">
      <c r="H602" s="363"/>
      <c r="I602" s="129"/>
      <c r="L602" s="134"/>
      <c r="M602" s="136"/>
    </row>
    <row r="603" spans="8:13" ht="14.5" x14ac:dyDescent="0.35">
      <c r="H603" s="363"/>
      <c r="I603" s="129"/>
      <c r="L603" s="134"/>
      <c r="M603" s="136"/>
    </row>
    <row r="604" spans="8:13" ht="14.5" x14ac:dyDescent="0.35">
      <c r="H604" s="363"/>
      <c r="I604" s="129"/>
      <c r="L604" s="134"/>
      <c r="M604" s="136"/>
    </row>
    <row r="605" spans="8:13" ht="14.5" x14ac:dyDescent="0.35">
      <c r="H605" s="363"/>
      <c r="I605" s="129"/>
      <c r="L605" s="134"/>
      <c r="M605" s="136"/>
    </row>
    <row r="606" spans="8:13" ht="14.5" x14ac:dyDescent="0.35">
      <c r="H606" s="363"/>
      <c r="I606" s="129"/>
      <c r="L606" s="134"/>
      <c r="M606" s="136"/>
    </row>
    <row r="607" spans="8:13" ht="14.5" x14ac:dyDescent="0.35">
      <c r="H607" s="363"/>
      <c r="I607" s="129"/>
      <c r="L607" s="134"/>
      <c r="M607" s="136"/>
    </row>
    <row r="608" spans="8:13" ht="14.5" x14ac:dyDescent="0.35">
      <c r="H608" s="363"/>
      <c r="I608" s="129"/>
      <c r="L608" s="134"/>
      <c r="M608" s="136"/>
    </row>
    <row r="609" spans="8:13" ht="14.5" x14ac:dyDescent="0.35">
      <c r="H609" s="363"/>
      <c r="I609" s="129"/>
      <c r="L609" s="134"/>
      <c r="M609" s="136"/>
    </row>
    <row r="610" spans="8:13" ht="14.5" x14ac:dyDescent="0.35">
      <c r="H610" s="363"/>
      <c r="I610" s="129"/>
      <c r="L610" s="134"/>
      <c r="M610" s="136"/>
    </row>
    <row r="611" spans="8:13" ht="14.5" x14ac:dyDescent="0.35">
      <c r="H611" s="363"/>
      <c r="I611" s="129"/>
      <c r="L611" s="134"/>
      <c r="M611" s="136"/>
    </row>
    <row r="612" spans="8:13" ht="14.5" x14ac:dyDescent="0.35">
      <c r="H612" s="363"/>
      <c r="I612" s="129"/>
      <c r="L612" s="134"/>
      <c r="M612" s="136"/>
    </row>
    <row r="613" spans="8:13" ht="14.5" x14ac:dyDescent="0.35">
      <c r="H613" s="363"/>
      <c r="I613" s="129"/>
      <c r="L613" s="134"/>
      <c r="M613" s="136"/>
    </row>
    <row r="614" spans="8:13" ht="14.5" x14ac:dyDescent="0.35">
      <c r="H614" s="363"/>
      <c r="I614" s="129"/>
      <c r="L614" s="134"/>
      <c r="M614" s="136"/>
    </row>
    <row r="615" spans="8:13" ht="14.5" x14ac:dyDescent="0.35">
      <c r="H615" s="363"/>
      <c r="I615" s="129"/>
      <c r="L615" s="134"/>
      <c r="M615" s="136"/>
    </row>
    <row r="616" spans="8:13" ht="14.5" x14ac:dyDescent="0.35">
      <c r="H616" s="363"/>
      <c r="I616" s="129"/>
      <c r="L616" s="134"/>
      <c r="M616" s="136"/>
    </row>
    <row r="617" spans="8:13" ht="14.5" x14ac:dyDescent="0.35">
      <c r="H617" s="363"/>
      <c r="I617" s="129"/>
      <c r="L617" s="134"/>
      <c r="M617" s="136"/>
    </row>
    <row r="618" spans="8:13" ht="14.5" x14ac:dyDescent="0.35">
      <c r="H618" s="363"/>
      <c r="I618" s="129"/>
      <c r="L618" s="134"/>
      <c r="M618" s="136"/>
    </row>
    <row r="619" spans="8:13" ht="14.5" x14ac:dyDescent="0.35">
      <c r="H619" s="363"/>
      <c r="I619" s="129"/>
      <c r="L619" s="134"/>
      <c r="M619" s="136"/>
    </row>
    <row r="620" spans="8:13" ht="14.5" x14ac:dyDescent="0.35">
      <c r="H620" s="363"/>
      <c r="I620" s="129"/>
      <c r="L620" s="134"/>
      <c r="M620" s="136"/>
    </row>
    <row r="621" spans="8:13" ht="14.5" x14ac:dyDescent="0.35">
      <c r="H621" s="363"/>
      <c r="I621" s="129"/>
      <c r="L621" s="134"/>
      <c r="M621" s="136"/>
    </row>
    <row r="622" spans="8:13" ht="14.5" x14ac:dyDescent="0.35">
      <c r="H622" s="363"/>
      <c r="I622" s="129"/>
      <c r="L622" s="134"/>
      <c r="M622" s="136"/>
    </row>
    <row r="623" spans="8:13" ht="14.5" x14ac:dyDescent="0.35">
      <c r="H623" s="363"/>
      <c r="I623" s="129"/>
      <c r="L623" s="134"/>
      <c r="M623" s="136"/>
    </row>
    <row r="624" spans="8:13" ht="14.5" x14ac:dyDescent="0.35">
      <c r="H624" s="363"/>
      <c r="I624" s="129"/>
      <c r="L624" s="134"/>
      <c r="M624" s="136"/>
    </row>
    <row r="625" spans="8:13" ht="14.5" x14ac:dyDescent="0.35">
      <c r="H625" s="363"/>
      <c r="I625" s="129"/>
      <c r="L625" s="134"/>
      <c r="M625" s="136"/>
    </row>
    <row r="626" spans="8:13" ht="14.5" x14ac:dyDescent="0.35">
      <c r="H626" s="363"/>
      <c r="I626" s="129"/>
      <c r="L626" s="134"/>
      <c r="M626" s="136"/>
    </row>
    <row r="627" spans="8:13" ht="14.5" x14ac:dyDescent="0.35">
      <c r="H627" s="363"/>
      <c r="I627" s="129"/>
      <c r="L627" s="134"/>
      <c r="M627" s="136"/>
    </row>
    <row r="628" spans="8:13" ht="14.5" x14ac:dyDescent="0.35">
      <c r="H628" s="363"/>
      <c r="I628" s="129"/>
      <c r="L628" s="134"/>
      <c r="M628" s="136"/>
    </row>
    <row r="629" spans="8:13" ht="14.5" x14ac:dyDescent="0.35">
      <c r="H629" s="363"/>
      <c r="I629" s="129"/>
      <c r="L629" s="134"/>
      <c r="M629" s="136"/>
    </row>
    <row r="630" spans="8:13" ht="14.5" x14ac:dyDescent="0.35">
      <c r="H630" s="363"/>
      <c r="I630" s="129"/>
      <c r="L630" s="134"/>
      <c r="M630" s="136"/>
    </row>
    <row r="631" spans="8:13" ht="14.5" x14ac:dyDescent="0.35">
      <c r="H631" s="363"/>
      <c r="I631" s="129"/>
      <c r="L631" s="134"/>
      <c r="M631" s="136"/>
    </row>
    <row r="632" spans="8:13" ht="14.5" x14ac:dyDescent="0.35">
      <c r="H632" s="363"/>
      <c r="I632" s="129"/>
      <c r="L632" s="134"/>
      <c r="M632" s="136"/>
    </row>
    <row r="633" spans="8:13" ht="14.5" x14ac:dyDescent="0.35">
      <c r="H633" s="363"/>
      <c r="I633" s="129"/>
      <c r="L633" s="134"/>
      <c r="M633" s="136"/>
    </row>
    <row r="634" spans="8:13" ht="14.5" x14ac:dyDescent="0.35">
      <c r="H634" s="363"/>
      <c r="I634" s="129"/>
      <c r="L634" s="134"/>
      <c r="M634" s="136"/>
    </row>
    <row r="635" spans="8:13" ht="14.5" x14ac:dyDescent="0.35">
      <c r="H635" s="363"/>
      <c r="I635" s="129"/>
      <c r="L635" s="134"/>
      <c r="M635" s="136"/>
    </row>
    <row r="636" spans="8:13" ht="14.5" x14ac:dyDescent="0.35">
      <c r="H636" s="363"/>
      <c r="I636" s="129"/>
      <c r="L636" s="134"/>
      <c r="M636" s="136"/>
    </row>
    <row r="637" spans="8:13" ht="14.5" x14ac:dyDescent="0.35">
      <c r="H637" s="363"/>
      <c r="I637" s="129"/>
      <c r="L637" s="134"/>
      <c r="M637" s="136"/>
    </row>
    <row r="638" spans="8:13" ht="14.5" x14ac:dyDescent="0.35">
      <c r="H638" s="363"/>
      <c r="I638" s="129"/>
      <c r="L638" s="134"/>
      <c r="M638" s="136"/>
    </row>
    <row r="639" spans="8:13" ht="14.5" x14ac:dyDescent="0.35">
      <c r="H639" s="363"/>
      <c r="I639" s="129"/>
      <c r="L639" s="134"/>
      <c r="M639" s="136"/>
    </row>
    <row r="640" spans="8:13" ht="14.5" x14ac:dyDescent="0.35">
      <c r="H640" s="363"/>
      <c r="I640" s="129"/>
      <c r="L640" s="134"/>
      <c r="M640" s="136"/>
    </row>
    <row r="641" spans="8:13" ht="14.5" x14ac:dyDescent="0.35">
      <c r="H641" s="363"/>
      <c r="I641" s="129"/>
      <c r="L641" s="134"/>
      <c r="M641" s="136"/>
    </row>
    <row r="642" spans="8:13" ht="14.5" x14ac:dyDescent="0.35">
      <c r="H642" s="363"/>
      <c r="I642" s="129"/>
      <c r="L642" s="134"/>
      <c r="M642" s="136"/>
    </row>
    <row r="643" spans="8:13" ht="14.5" x14ac:dyDescent="0.35">
      <c r="H643" s="363"/>
      <c r="I643" s="129"/>
      <c r="L643" s="134"/>
      <c r="M643" s="136"/>
    </row>
    <row r="644" spans="8:13" ht="14.5" x14ac:dyDescent="0.35">
      <c r="H644" s="363"/>
      <c r="I644" s="129"/>
      <c r="L644" s="134"/>
      <c r="M644" s="136"/>
    </row>
    <row r="645" spans="8:13" ht="14.5" x14ac:dyDescent="0.35">
      <c r="H645" s="363"/>
      <c r="I645" s="129"/>
      <c r="L645" s="134"/>
      <c r="M645" s="136"/>
    </row>
    <row r="646" spans="8:13" ht="14.5" x14ac:dyDescent="0.35">
      <c r="H646" s="363"/>
      <c r="I646" s="129"/>
      <c r="L646" s="134"/>
      <c r="M646" s="136"/>
    </row>
    <row r="647" spans="8:13" ht="14.5" x14ac:dyDescent="0.35">
      <c r="H647" s="363"/>
      <c r="I647" s="129"/>
      <c r="L647" s="134"/>
      <c r="M647" s="136"/>
    </row>
    <row r="648" spans="8:13" ht="14.5" x14ac:dyDescent="0.35">
      <c r="H648" s="363"/>
      <c r="I648" s="129"/>
      <c r="L648" s="134"/>
      <c r="M648" s="136"/>
    </row>
    <row r="649" spans="8:13" ht="14.5" x14ac:dyDescent="0.35">
      <c r="H649" s="363"/>
      <c r="I649" s="129"/>
      <c r="L649" s="134"/>
      <c r="M649" s="136"/>
    </row>
    <row r="650" spans="8:13" ht="14.5" x14ac:dyDescent="0.35">
      <c r="H650" s="363"/>
      <c r="I650" s="129"/>
      <c r="L650" s="134"/>
      <c r="M650" s="136"/>
    </row>
    <row r="651" spans="8:13" ht="14.5" x14ac:dyDescent="0.35">
      <c r="H651" s="363"/>
      <c r="I651" s="129"/>
      <c r="L651" s="134"/>
      <c r="M651" s="136"/>
    </row>
    <row r="652" spans="8:13" ht="14.5" x14ac:dyDescent="0.35">
      <c r="H652" s="363"/>
      <c r="I652" s="129"/>
      <c r="L652" s="134"/>
      <c r="M652" s="136"/>
    </row>
    <row r="653" spans="8:13" ht="14.5" x14ac:dyDescent="0.35">
      <c r="H653" s="363"/>
      <c r="I653" s="129"/>
      <c r="L653" s="134"/>
      <c r="M653" s="136"/>
    </row>
    <row r="654" spans="8:13" ht="14.5" x14ac:dyDescent="0.35">
      <c r="H654" s="363"/>
      <c r="I654" s="129"/>
      <c r="L654" s="134"/>
      <c r="M654" s="136"/>
    </row>
    <row r="655" spans="8:13" ht="14.5" x14ac:dyDescent="0.35">
      <c r="H655" s="363"/>
      <c r="I655" s="129"/>
      <c r="L655" s="134"/>
      <c r="M655" s="136"/>
    </row>
    <row r="656" spans="8:13" ht="14.5" x14ac:dyDescent="0.35">
      <c r="H656" s="363"/>
      <c r="I656" s="129"/>
      <c r="L656" s="134"/>
      <c r="M656" s="136"/>
    </row>
    <row r="657" spans="8:13" ht="14.5" x14ac:dyDescent="0.35">
      <c r="H657" s="363"/>
      <c r="I657" s="129"/>
      <c r="L657" s="134"/>
      <c r="M657" s="136"/>
    </row>
    <row r="658" spans="8:13" ht="14.5" x14ac:dyDescent="0.35">
      <c r="H658" s="363"/>
      <c r="I658" s="129"/>
      <c r="L658" s="134"/>
      <c r="M658" s="136"/>
    </row>
    <row r="659" spans="8:13" ht="14.5" x14ac:dyDescent="0.35">
      <c r="H659" s="363"/>
      <c r="I659" s="129"/>
      <c r="L659" s="134"/>
      <c r="M659" s="136"/>
    </row>
    <row r="660" spans="8:13" ht="14.5" x14ac:dyDescent="0.35">
      <c r="H660" s="363"/>
      <c r="I660" s="129"/>
      <c r="L660" s="134"/>
      <c r="M660" s="136"/>
    </row>
    <row r="661" spans="8:13" ht="14.5" x14ac:dyDescent="0.35">
      <c r="H661" s="363"/>
      <c r="I661" s="129"/>
      <c r="L661" s="134"/>
      <c r="M661" s="136"/>
    </row>
    <row r="662" spans="8:13" ht="14.5" x14ac:dyDescent="0.35">
      <c r="H662" s="363"/>
      <c r="I662" s="129"/>
      <c r="L662" s="134"/>
      <c r="M662" s="136"/>
    </row>
    <row r="663" spans="8:13" ht="14.5" x14ac:dyDescent="0.35">
      <c r="H663" s="363"/>
      <c r="I663" s="129"/>
      <c r="L663" s="134"/>
      <c r="M663" s="136"/>
    </row>
    <row r="664" spans="8:13" ht="14.5" x14ac:dyDescent="0.35">
      <c r="H664" s="363"/>
      <c r="I664" s="129"/>
      <c r="L664" s="134"/>
      <c r="M664" s="136"/>
    </row>
    <row r="665" spans="8:13" ht="14.5" x14ac:dyDescent="0.35">
      <c r="H665" s="363"/>
      <c r="I665" s="129"/>
      <c r="L665" s="134"/>
      <c r="M665" s="136"/>
    </row>
    <row r="666" spans="8:13" ht="14.5" x14ac:dyDescent="0.35">
      <c r="H666" s="363"/>
      <c r="I666" s="129"/>
      <c r="L666" s="134"/>
      <c r="M666" s="136"/>
    </row>
    <row r="667" spans="8:13" ht="14.5" x14ac:dyDescent="0.35">
      <c r="H667" s="363"/>
      <c r="I667" s="129"/>
      <c r="L667" s="134"/>
      <c r="M667" s="136"/>
    </row>
    <row r="668" spans="8:13" ht="14.5" x14ac:dyDescent="0.35">
      <c r="H668" s="363"/>
      <c r="I668" s="129"/>
      <c r="L668" s="134"/>
      <c r="M668" s="136"/>
    </row>
    <row r="669" spans="8:13" ht="14.5" x14ac:dyDescent="0.35">
      <c r="H669" s="363"/>
      <c r="I669" s="129"/>
      <c r="L669" s="134"/>
      <c r="M669" s="136"/>
    </row>
    <row r="670" spans="8:13" ht="14.5" x14ac:dyDescent="0.35">
      <c r="H670" s="363"/>
      <c r="I670" s="129"/>
      <c r="L670" s="134"/>
      <c r="M670" s="136"/>
    </row>
    <row r="671" spans="8:13" ht="14.5" x14ac:dyDescent="0.35">
      <c r="H671" s="363"/>
      <c r="I671" s="129"/>
      <c r="L671" s="134"/>
      <c r="M671" s="136"/>
    </row>
    <row r="672" spans="8:13" ht="14.5" x14ac:dyDescent="0.35">
      <c r="H672" s="363"/>
      <c r="I672" s="129"/>
      <c r="L672" s="134"/>
      <c r="M672" s="136"/>
    </row>
    <row r="673" spans="8:13" ht="14.5" x14ac:dyDescent="0.35">
      <c r="H673" s="363"/>
      <c r="I673" s="129"/>
      <c r="L673" s="134"/>
      <c r="M673" s="136"/>
    </row>
    <row r="674" spans="8:13" ht="14.5" x14ac:dyDescent="0.35">
      <c r="H674" s="363"/>
      <c r="I674" s="129"/>
      <c r="L674" s="134"/>
      <c r="M674" s="136"/>
    </row>
    <row r="675" spans="8:13" ht="14.5" x14ac:dyDescent="0.35">
      <c r="H675" s="363"/>
      <c r="I675" s="129"/>
      <c r="L675" s="134"/>
      <c r="M675" s="136"/>
    </row>
    <row r="676" spans="8:13" ht="14.5" x14ac:dyDescent="0.35">
      <c r="H676" s="363"/>
      <c r="I676" s="129"/>
      <c r="L676" s="134"/>
      <c r="M676" s="136"/>
    </row>
    <row r="677" spans="8:13" ht="14.5" x14ac:dyDescent="0.35">
      <c r="H677" s="363"/>
      <c r="I677" s="129"/>
      <c r="L677" s="134"/>
      <c r="M677" s="136"/>
    </row>
    <row r="678" spans="8:13" ht="14.5" x14ac:dyDescent="0.35">
      <c r="H678" s="363"/>
      <c r="I678" s="129"/>
      <c r="L678" s="134"/>
      <c r="M678" s="136"/>
    </row>
    <row r="679" spans="8:13" ht="14.5" x14ac:dyDescent="0.35">
      <c r="H679" s="363"/>
      <c r="I679" s="129"/>
      <c r="L679" s="134"/>
      <c r="M679" s="136"/>
    </row>
    <row r="680" spans="8:13" ht="14.5" x14ac:dyDescent="0.35">
      <c r="H680" s="363"/>
      <c r="I680" s="129"/>
      <c r="L680" s="134"/>
      <c r="M680" s="136"/>
    </row>
    <row r="681" spans="8:13" ht="14.5" x14ac:dyDescent="0.35">
      <c r="H681" s="363"/>
      <c r="I681" s="129"/>
      <c r="L681" s="134"/>
      <c r="M681" s="136"/>
    </row>
    <row r="682" spans="8:13" ht="14.5" x14ac:dyDescent="0.35">
      <c r="H682" s="363"/>
      <c r="I682" s="129"/>
      <c r="L682" s="134"/>
      <c r="M682" s="136"/>
    </row>
    <row r="683" spans="8:13" ht="14.5" x14ac:dyDescent="0.35">
      <c r="H683" s="363"/>
      <c r="I683" s="129"/>
      <c r="L683" s="134"/>
      <c r="M683" s="136"/>
    </row>
    <row r="684" spans="8:13" ht="14.5" x14ac:dyDescent="0.35">
      <c r="H684" s="363"/>
      <c r="I684" s="129"/>
      <c r="L684" s="134"/>
      <c r="M684" s="136"/>
    </row>
    <row r="685" spans="8:13" ht="14.5" x14ac:dyDescent="0.35">
      <c r="H685" s="363"/>
      <c r="I685" s="129"/>
      <c r="L685" s="134"/>
      <c r="M685" s="136"/>
    </row>
    <row r="686" spans="8:13" ht="14.5" x14ac:dyDescent="0.35">
      <c r="H686" s="363"/>
      <c r="I686" s="129"/>
      <c r="L686" s="134"/>
      <c r="M686" s="136"/>
    </row>
    <row r="687" spans="8:13" ht="14.5" x14ac:dyDescent="0.35">
      <c r="H687" s="363"/>
      <c r="I687" s="129"/>
      <c r="L687" s="134"/>
      <c r="M687" s="136"/>
    </row>
    <row r="688" spans="8:13" ht="14.5" x14ac:dyDescent="0.35">
      <c r="H688" s="363"/>
      <c r="I688" s="129"/>
      <c r="L688" s="134"/>
      <c r="M688" s="136"/>
    </row>
    <row r="689" spans="8:13" ht="14.5" x14ac:dyDescent="0.35">
      <c r="H689" s="363"/>
      <c r="I689" s="129"/>
      <c r="L689" s="134"/>
      <c r="M689" s="136"/>
    </row>
    <row r="690" spans="8:13" ht="14.5" x14ac:dyDescent="0.35">
      <c r="H690" s="363"/>
      <c r="I690" s="129"/>
      <c r="L690" s="134"/>
      <c r="M690" s="136"/>
    </row>
    <row r="691" spans="8:13" ht="14.5" x14ac:dyDescent="0.35">
      <c r="H691" s="363"/>
      <c r="I691" s="129"/>
      <c r="L691" s="134"/>
      <c r="M691" s="136"/>
    </row>
    <row r="692" spans="8:13" ht="14.5" x14ac:dyDescent="0.35">
      <c r="H692" s="363"/>
      <c r="I692" s="129"/>
      <c r="L692" s="134"/>
      <c r="M692" s="136"/>
    </row>
    <row r="693" spans="8:13" ht="14.5" x14ac:dyDescent="0.35">
      <c r="H693" s="363"/>
      <c r="I693" s="129"/>
      <c r="L693" s="134"/>
      <c r="M693" s="136"/>
    </row>
    <row r="694" spans="8:13" ht="14.5" x14ac:dyDescent="0.35">
      <c r="H694" s="363"/>
      <c r="I694" s="129"/>
      <c r="L694" s="134"/>
      <c r="M694" s="136"/>
    </row>
    <row r="695" spans="8:13" ht="14.5" x14ac:dyDescent="0.35">
      <c r="H695" s="363"/>
      <c r="I695" s="129"/>
      <c r="L695" s="134"/>
      <c r="M695" s="136"/>
    </row>
    <row r="696" spans="8:13" ht="14.5" x14ac:dyDescent="0.35">
      <c r="H696" s="363"/>
      <c r="I696" s="129"/>
      <c r="L696" s="134"/>
      <c r="M696" s="136"/>
    </row>
    <row r="697" spans="8:13" ht="14.5" x14ac:dyDescent="0.35">
      <c r="H697" s="363"/>
      <c r="I697" s="129"/>
      <c r="L697" s="134"/>
      <c r="M697" s="136"/>
    </row>
    <row r="698" spans="8:13" ht="14.5" x14ac:dyDescent="0.35">
      <c r="H698" s="363"/>
      <c r="I698" s="129"/>
      <c r="L698" s="134"/>
      <c r="M698" s="136"/>
    </row>
    <row r="699" spans="8:13" ht="14.5" x14ac:dyDescent="0.35">
      <c r="H699" s="363"/>
      <c r="I699" s="129"/>
      <c r="L699" s="134"/>
      <c r="M699" s="136"/>
    </row>
    <row r="700" spans="8:13" ht="14.5" x14ac:dyDescent="0.35">
      <c r="H700" s="363"/>
      <c r="I700" s="129"/>
      <c r="L700" s="134"/>
      <c r="M700" s="136"/>
    </row>
    <row r="701" spans="8:13" ht="14.5" x14ac:dyDescent="0.35">
      <c r="H701" s="363"/>
      <c r="I701" s="129"/>
      <c r="L701" s="134"/>
      <c r="M701" s="136"/>
    </row>
    <row r="702" spans="8:13" ht="14.5" x14ac:dyDescent="0.35">
      <c r="H702" s="363"/>
      <c r="I702" s="129"/>
      <c r="L702" s="134"/>
      <c r="M702" s="136"/>
    </row>
    <row r="703" spans="8:13" ht="14.5" x14ac:dyDescent="0.35">
      <c r="H703" s="363"/>
      <c r="I703" s="129"/>
      <c r="L703" s="134"/>
      <c r="M703" s="136"/>
    </row>
    <row r="704" spans="8:13" ht="14.5" x14ac:dyDescent="0.35">
      <c r="H704" s="363"/>
      <c r="I704" s="129"/>
      <c r="L704" s="134"/>
      <c r="M704" s="136"/>
    </row>
    <row r="705" spans="8:13" ht="14.5" x14ac:dyDescent="0.35">
      <c r="H705" s="363"/>
      <c r="I705" s="129"/>
      <c r="L705" s="134"/>
      <c r="M705" s="136"/>
    </row>
    <row r="706" spans="8:13" ht="14.5" x14ac:dyDescent="0.35">
      <c r="H706" s="363"/>
      <c r="I706" s="129"/>
      <c r="L706" s="134"/>
      <c r="M706" s="136"/>
    </row>
    <row r="707" spans="8:13" ht="14.5" x14ac:dyDescent="0.35">
      <c r="H707" s="363"/>
      <c r="I707" s="129"/>
      <c r="L707" s="134"/>
      <c r="M707" s="136"/>
    </row>
    <row r="708" spans="8:13" ht="14.5" x14ac:dyDescent="0.35">
      <c r="H708" s="363"/>
      <c r="I708" s="129"/>
      <c r="L708" s="134"/>
      <c r="M708" s="136"/>
    </row>
    <row r="709" spans="8:13" ht="14.5" x14ac:dyDescent="0.35">
      <c r="H709" s="363"/>
      <c r="I709" s="129"/>
      <c r="L709" s="134"/>
      <c r="M709" s="136"/>
    </row>
    <row r="710" spans="8:13" ht="14.5" x14ac:dyDescent="0.35">
      <c r="H710" s="363"/>
      <c r="I710" s="129"/>
      <c r="L710" s="134"/>
      <c r="M710" s="136"/>
    </row>
    <row r="711" spans="8:13" ht="14.5" x14ac:dyDescent="0.35">
      <c r="H711" s="363"/>
      <c r="I711" s="129"/>
      <c r="L711" s="134"/>
      <c r="M711" s="136"/>
    </row>
    <row r="712" spans="8:13" ht="14.5" x14ac:dyDescent="0.35">
      <c r="H712" s="363"/>
      <c r="I712" s="129"/>
      <c r="L712" s="134"/>
      <c r="M712" s="136"/>
    </row>
    <row r="713" spans="8:13" ht="14.5" x14ac:dyDescent="0.35">
      <c r="H713" s="363"/>
      <c r="I713" s="129"/>
      <c r="L713" s="134"/>
      <c r="M713" s="136"/>
    </row>
    <row r="714" spans="8:13" ht="14.5" x14ac:dyDescent="0.35">
      <c r="H714" s="363"/>
      <c r="I714" s="129"/>
      <c r="L714" s="134"/>
      <c r="M714" s="136"/>
    </row>
    <row r="715" spans="8:13" ht="14.5" x14ac:dyDescent="0.35">
      <c r="H715" s="363"/>
      <c r="I715" s="129"/>
      <c r="L715" s="134"/>
      <c r="M715" s="136"/>
    </row>
    <row r="716" spans="8:13" ht="14.5" x14ac:dyDescent="0.35">
      <c r="H716" s="363"/>
      <c r="I716" s="129"/>
      <c r="L716" s="134"/>
      <c r="M716" s="136"/>
    </row>
    <row r="717" spans="8:13" ht="14.5" x14ac:dyDescent="0.35">
      <c r="H717" s="363"/>
      <c r="I717" s="129"/>
      <c r="L717" s="134"/>
      <c r="M717" s="136"/>
    </row>
    <row r="718" spans="8:13" ht="14.5" x14ac:dyDescent="0.35">
      <c r="H718" s="363"/>
      <c r="I718" s="129"/>
      <c r="L718" s="134"/>
      <c r="M718" s="136"/>
    </row>
    <row r="719" spans="8:13" ht="14.5" x14ac:dyDescent="0.35">
      <c r="H719" s="363"/>
      <c r="I719" s="129"/>
      <c r="L719" s="134"/>
      <c r="M719" s="136"/>
    </row>
    <row r="720" spans="8:13" ht="14.5" x14ac:dyDescent="0.35">
      <c r="H720" s="363"/>
      <c r="I720" s="129"/>
      <c r="L720" s="134"/>
      <c r="M720" s="136"/>
    </row>
    <row r="721" spans="8:13" ht="14.5" x14ac:dyDescent="0.35">
      <c r="H721" s="363"/>
      <c r="I721" s="129"/>
      <c r="L721" s="134"/>
      <c r="M721" s="136"/>
    </row>
    <row r="722" spans="8:13" ht="14.5" x14ac:dyDescent="0.35">
      <c r="H722" s="363"/>
      <c r="I722" s="129"/>
      <c r="L722" s="134"/>
      <c r="M722" s="136"/>
    </row>
    <row r="723" spans="8:13" ht="14.5" x14ac:dyDescent="0.35">
      <c r="H723" s="363"/>
      <c r="I723" s="129"/>
      <c r="L723" s="134"/>
      <c r="M723" s="136"/>
    </row>
    <row r="724" spans="8:13" ht="14.5" x14ac:dyDescent="0.35">
      <c r="H724" s="363"/>
      <c r="I724" s="129"/>
      <c r="L724" s="134"/>
      <c r="M724" s="136"/>
    </row>
    <row r="725" spans="8:13" ht="14.5" x14ac:dyDescent="0.35">
      <c r="H725" s="363"/>
      <c r="I725" s="129"/>
      <c r="L725" s="134"/>
      <c r="M725" s="136"/>
    </row>
    <row r="726" spans="8:13" ht="14.5" x14ac:dyDescent="0.35">
      <c r="H726" s="363"/>
      <c r="I726" s="129"/>
      <c r="L726" s="134"/>
      <c r="M726" s="136"/>
    </row>
    <row r="727" spans="8:13" ht="14.5" x14ac:dyDescent="0.35">
      <c r="H727" s="363"/>
      <c r="I727" s="129"/>
      <c r="L727" s="134"/>
      <c r="M727" s="136"/>
    </row>
    <row r="728" spans="8:13" ht="14.5" x14ac:dyDescent="0.35">
      <c r="H728" s="363"/>
      <c r="I728" s="129"/>
      <c r="L728" s="134"/>
      <c r="M728" s="136"/>
    </row>
    <row r="729" spans="8:13" ht="14.5" x14ac:dyDescent="0.35">
      <c r="H729" s="363"/>
      <c r="I729" s="129"/>
      <c r="L729" s="134"/>
      <c r="M729" s="136"/>
    </row>
    <row r="730" spans="8:13" ht="14.5" x14ac:dyDescent="0.35">
      <c r="H730" s="363"/>
      <c r="I730" s="129"/>
      <c r="L730" s="134"/>
      <c r="M730" s="136"/>
    </row>
    <row r="731" spans="8:13" ht="14.5" x14ac:dyDescent="0.35">
      <c r="H731" s="363"/>
      <c r="I731" s="129"/>
      <c r="L731" s="134"/>
      <c r="M731" s="136"/>
    </row>
    <row r="732" spans="8:13" ht="14.5" x14ac:dyDescent="0.35">
      <c r="H732" s="363"/>
      <c r="I732" s="129"/>
      <c r="L732" s="134"/>
      <c r="M732" s="136"/>
    </row>
    <row r="733" spans="8:13" ht="14.5" x14ac:dyDescent="0.35">
      <c r="H733" s="363"/>
      <c r="I733" s="129"/>
      <c r="L733" s="134"/>
      <c r="M733" s="136"/>
    </row>
    <row r="734" spans="8:13" ht="14.5" x14ac:dyDescent="0.35">
      <c r="H734" s="363"/>
      <c r="I734" s="129"/>
      <c r="L734" s="134"/>
      <c r="M734" s="136"/>
    </row>
    <row r="735" spans="8:13" ht="14.5" x14ac:dyDescent="0.35">
      <c r="H735" s="363"/>
      <c r="I735" s="129"/>
      <c r="L735" s="134"/>
      <c r="M735" s="136"/>
    </row>
    <row r="736" spans="8:13" ht="14.5" x14ac:dyDescent="0.35">
      <c r="H736" s="363"/>
      <c r="I736" s="129"/>
      <c r="L736" s="134"/>
      <c r="M736" s="136"/>
    </row>
    <row r="737" spans="8:13" ht="14.5" x14ac:dyDescent="0.35">
      <c r="H737" s="363"/>
      <c r="I737" s="129"/>
      <c r="L737" s="134"/>
      <c r="M737" s="136"/>
    </row>
    <row r="738" spans="8:13" ht="14.5" x14ac:dyDescent="0.35">
      <c r="H738" s="363"/>
      <c r="I738" s="129"/>
      <c r="L738" s="134"/>
      <c r="M738" s="136"/>
    </row>
    <row r="739" spans="8:13" ht="14.5" x14ac:dyDescent="0.35">
      <c r="H739" s="363"/>
      <c r="I739" s="129"/>
      <c r="L739" s="134"/>
      <c r="M739" s="136"/>
    </row>
    <row r="740" spans="8:13" ht="14.5" x14ac:dyDescent="0.35">
      <c r="H740" s="363"/>
      <c r="I740" s="129"/>
      <c r="L740" s="134"/>
      <c r="M740" s="136"/>
    </row>
    <row r="741" spans="8:13" ht="14.5" x14ac:dyDescent="0.35">
      <c r="H741" s="363"/>
      <c r="I741" s="129"/>
      <c r="L741" s="134"/>
      <c r="M741" s="136"/>
    </row>
    <row r="742" spans="8:13" ht="14.5" x14ac:dyDescent="0.35">
      <c r="H742" s="363"/>
      <c r="I742" s="129"/>
      <c r="L742" s="134"/>
      <c r="M742" s="136"/>
    </row>
    <row r="743" spans="8:13" ht="14.5" x14ac:dyDescent="0.35">
      <c r="H743" s="363"/>
      <c r="I743" s="129"/>
      <c r="L743" s="134"/>
      <c r="M743" s="136"/>
    </row>
    <row r="744" spans="8:13" ht="14.5" x14ac:dyDescent="0.35">
      <c r="H744" s="363"/>
      <c r="I744" s="129"/>
      <c r="L744" s="134"/>
      <c r="M744" s="136"/>
    </row>
    <row r="745" spans="8:13" ht="14.5" x14ac:dyDescent="0.35">
      <c r="H745" s="363"/>
      <c r="I745" s="129"/>
      <c r="L745" s="134"/>
      <c r="M745" s="136"/>
    </row>
    <row r="746" spans="8:13" ht="14.5" x14ac:dyDescent="0.35">
      <c r="H746" s="363"/>
      <c r="I746" s="129"/>
      <c r="L746" s="134"/>
      <c r="M746" s="136"/>
    </row>
    <row r="747" spans="8:13" ht="14.5" x14ac:dyDescent="0.35">
      <c r="H747" s="363"/>
      <c r="I747" s="129"/>
      <c r="L747" s="134"/>
      <c r="M747" s="136"/>
    </row>
    <row r="748" spans="8:13" ht="14.5" x14ac:dyDescent="0.35">
      <c r="H748" s="363"/>
      <c r="I748" s="129"/>
      <c r="L748" s="134"/>
      <c r="M748" s="136"/>
    </row>
    <row r="749" spans="8:13" ht="14.5" x14ac:dyDescent="0.35">
      <c r="H749" s="363"/>
      <c r="I749" s="129"/>
      <c r="L749" s="134"/>
      <c r="M749" s="136"/>
    </row>
    <row r="750" spans="8:13" ht="14.5" x14ac:dyDescent="0.35">
      <c r="H750" s="363"/>
      <c r="I750" s="129"/>
      <c r="L750" s="134"/>
      <c r="M750" s="136"/>
    </row>
    <row r="751" spans="8:13" ht="14.5" x14ac:dyDescent="0.35">
      <c r="H751" s="363"/>
      <c r="I751" s="129"/>
      <c r="L751" s="134"/>
      <c r="M751" s="136"/>
    </row>
    <row r="752" spans="8:13" ht="14.5" x14ac:dyDescent="0.35">
      <c r="H752" s="363"/>
      <c r="I752" s="129"/>
      <c r="L752" s="134"/>
      <c r="M752" s="136"/>
    </row>
    <row r="753" spans="8:13" ht="14.5" x14ac:dyDescent="0.35">
      <c r="H753" s="363"/>
      <c r="I753" s="129"/>
      <c r="L753" s="134"/>
      <c r="M753" s="136"/>
    </row>
    <row r="754" spans="8:13" ht="14.5" x14ac:dyDescent="0.35">
      <c r="H754" s="363"/>
      <c r="I754" s="129"/>
      <c r="L754" s="134"/>
      <c r="M754" s="136"/>
    </row>
    <row r="755" spans="8:13" ht="14.5" x14ac:dyDescent="0.35">
      <c r="H755" s="363"/>
      <c r="I755" s="129"/>
      <c r="L755" s="134"/>
      <c r="M755" s="136"/>
    </row>
    <row r="756" spans="8:13" ht="14.5" x14ac:dyDescent="0.35">
      <c r="H756" s="363"/>
      <c r="I756" s="129"/>
      <c r="L756" s="134"/>
      <c r="M756" s="136"/>
    </row>
    <row r="757" spans="8:13" ht="14.5" x14ac:dyDescent="0.35">
      <c r="H757" s="363"/>
      <c r="I757" s="129"/>
      <c r="L757" s="134"/>
      <c r="M757" s="136"/>
    </row>
    <row r="758" spans="8:13" ht="14.5" x14ac:dyDescent="0.35">
      <c r="H758" s="363"/>
      <c r="I758" s="129"/>
      <c r="L758" s="134"/>
      <c r="M758" s="136"/>
    </row>
    <row r="759" spans="8:13" ht="14.5" x14ac:dyDescent="0.35">
      <c r="H759" s="363"/>
      <c r="I759" s="129"/>
      <c r="L759" s="134"/>
      <c r="M759" s="136"/>
    </row>
    <row r="760" spans="8:13" ht="14.5" x14ac:dyDescent="0.35">
      <c r="H760" s="363"/>
      <c r="I760" s="129"/>
      <c r="L760" s="134"/>
      <c r="M760" s="136"/>
    </row>
    <row r="761" spans="8:13" ht="14.5" x14ac:dyDescent="0.35">
      <c r="H761" s="363"/>
      <c r="I761" s="129"/>
      <c r="L761" s="134"/>
      <c r="M761" s="136"/>
    </row>
    <row r="762" spans="8:13" ht="14.5" x14ac:dyDescent="0.35">
      <c r="H762" s="363"/>
      <c r="I762" s="129"/>
      <c r="L762" s="134"/>
      <c r="M762" s="136"/>
    </row>
    <row r="763" spans="8:13" ht="14.5" x14ac:dyDescent="0.35">
      <c r="H763" s="363"/>
      <c r="I763" s="129"/>
      <c r="L763" s="134"/>
      <c r="M763" s="136"/>
    </row>
    <row r="764" spans="8:13" ht="14.5" x14ac:dyDescent="0.35">
      <c r="H764" s="363"/>
      <c r="I764" s="129"/>
      <c r="L764" s="134"/>
      <c r="M764" s="136"/>
    </row>
    <row r="765" spans="8:13" ht="14.5" x14ac:dyDescent="0.35">
      <c r="H765" s="363"/>
      <c r="I765" s="129"/>
      <c r="L765" s="134"/>
      <c r="M765" s="136"/>
    </row>
    <row r="766" spans="8:13" ht="14.5" x14ac:dyDescent="0.35">
      <c r="H766" s="363"/>
      <c r="I766" s="129"/>
      <c r="L766" s="134"/>
      <c r="M766" s="136"/>
    </row>
    <row r="767" spans="8:13" ht="14.5" x14ac:dyDescent="0.35">
      <c r="H767" s="363"/>
      <c r="I767" s="129"/>
      <c r="L767" s="134"/>
      <c r="M767" s="136"/>
    </row>
    <row r="768" spans="8:13" ht="14.5" x14ac:dyDescent="0.35">
      <c r="H768" s="363"/>
      <c r="I768" s="129"/>
      <c r="L768" s="134"/>
      <c r="M768" s="136"/>
    </row>
    <row r="769" spans="8:13" ht="14.5" x14ac:dyDescent="0.35">
      <c r="H769" s="363"/>
      <c r="I769" s="129"/>
      <c r="L769" s="134"/>
      <c r="M769" s="136"/>
    </row>
    <row r="770" spans="8:13" ht="14.5" x14ac:dyDescent="0.35">
      <c r="H770" s="363"/>
      <c r="I770" s="129"/>
      <c r="L770" s="134"/>
      <c r="M770" s="136"/>
    </row>
    <row r="771" spans="8:13" ht="14.5" x14ac:dyDescent="0.35">
      <c r="H771" s="363"/>
      <c r="I771" s="129"/>
      <c r="L771" s="134"/>
      <c r="M771" s="136"/>
    </row>
    <row r="772" spans="8:13" ht="14.5" x14ac:dyDescent="0.35">
      <c r="H772" s="363"/>
      <c r="I772" s="129"/>
      <c r="L772" s="134"/>
      <c r="M772" s="136"/>
    </row>
    <row r="773" spans="8:13" ht="14.5" x14ac:dyDescent="0.35">
      <c r="H773" s="363"/>
      <c r="I773" s="129"/>
      <c r="L773" s="134"/>
      <c r="M773" s="136"/>
    </row>
    <row r="774" spans="8:13" ht="14.5" x14ac:dyDescent="0.35">
      <c r="H774" s="363"/>
      <c r="I774" s="129"/>
      <c r="L774" s="134"/>
      <c r="M774" s="136"/>
    </row>
    <row r="775" spans="8:13" ht="14.5" x14ac:dyDescent="0.35">
      <c r="H775" s="363"/>
      <c r="I775" s="129"/>
      <c r="L775" s="134"/>
      <c r="M775" s="136"/>
    </row>
    <row r="776" spans="8:13" ht="14.5" x14ac:dyDescent="0.35">
      <c r="H776" s="363"/>
      <c r="I776" s="129"/>
      <c r="L776" s="134"/>
      <c r="M776" s="136"/>
    </row>
    <row r="777" spans="8:13" ht="14.5" x14ac:dyDescent="0.35">
      <c r="H777" s="363"/>
      <c r="I777" s="129"/>
      <c r="L777" s="134"/>
      <c r="M777" s="136"/>
    </row>
    <row r="778" spans="8:13" ht="14.5" x14ac:dyDescent="0.35">
      <c r="H778" s="363"/>
      <c r="I778" s="129"/>
      <c r="L778" s="134"/>
      <c r="M778" s="136"/>
    </row>
    <row r="779" spans="8:13" ht="14.5" x14ac:dyDescent="0.35">
      <c r="H779" s="363"/>
      <c r="I779" s="129"/>
      <c r="L779" s="134"/>
      <c r="M779" s="136"/>
    </row>
    <row r="780" spans="8:13" ht="14.5" x14ac:dyDescent="0.35">
      <c r="H780" s="363"/>
      <c r="I780" s="129"/>
      <c r="L780" s="134"/>
      <c r="M780" s="136"/>
    </row>
    <row r="781" spans="8:13" ht="14.5" x14ac:dyDescent="0.35">
      <c r="H781" s="363"/>
      <c r="I781" s="129"/>
      <c r="L781" s="134"/>
      <c r="M781" s="136"/>
    </row>
    <row r="782" spans="8:13" ht="14.5" x14ac:dyDescent="0.35">
      <c r="H782" s="363"/>
      <c r="I782" s="129"/>
      <c r="L782" s="134"/>
      <c r="M782" s="136"/>
    </row>
    <row r="783" spans="8:13" ht="14.5" x14ac:dyDescent="0.35">
      <c r="H783" s="363"/>
      <c r="I783" s="129"/>
      <c r="L783" s="134"/>
      <c r="M783" s="136"/>
    </row>
    <row r="784" spans="8:13" ht="14.5" x14ac:dyDescent="0.35">
      <c r="H784" s="363"/>
      <c r="I784" s="129"/>
      <c r="L784" s="134"/>
      <c r="M784" s="136"/>
    </row>
    <row r="785" spans="8:13" ht="14.5" x14ac:dyDescent="0.35">
      <c r="H785" s="363"/>
      <c r="I785" s="129"/>
      <c r="L785" s="134"/>
      <c r="M785" s="136"/>
    </row>
    <row r="786" spans="8:13" ht="14.5" x14ac:dyDescent="0.35">
      <c r="H786" s="363"/>
      <c r="I786" s="129"/>
      <c r="L786" s="134"/>
      <c r="M786" s="136"/>
    </row>
    <row r="787" spans="8:13" ht="14.5" x14ac:dyDescent="0.35">
      <c r="H787" s="363"/>
      <c r="I787" s="129"/>
      <c r="L787" s="134"/>
      <c r="M787" s="136"/>
    </row>
    <row r="788" spans="8:13" ht="14.5" x14ac:dyDescent="0.35">
      <c r="H788" s="363"/>
      <c r="I788" s="129"/>
      <c r="L788" s="134"/>
      <c r="M788" s="136"/>
    </row>
    <row r="789" spans="8:13" ht="14.5" x14ac:dyDescent="0.35">
      <c r="H789" s="363"/>
      <c r="I789" s="129"/>
      <c r="L789" s="134"/>
      <c r="M789" s="136"/>
    </row>
    <row r="790" spans="8:13" ht="14.5" x14ac:dyDescent="0.35">
      <c r="H790" s="363"/>
      <c r="I790" s="129"/>
      <c r="L790" s="134"/>
      <c r="M790" s="136"/>
    </row>
    <row r="791" spans="8:13" ht="14.5" x14ac:dyDescent="0.35">
      <c r="H791" s="363"/>
      <c r="I791" s="129"/>
      <c r="L791" s="134"/>
      <c r="M791" s="136"/>
    </row>
    <row r="792" spans="8:13" ht="14.5" x14ac:dyDescent="0.35">
      <c r="H792" s="363"/>
      <c r="I792" s="129"/>
      <c r="L792" s="134"/>
      <c r="M792" s="136"/>
    </row>
    <row r="793" spans="8:13" ht="14.5" x14ac:dyDescent="0.35">
      <c r="H793" s="363"/>
      <c r="I793" s="129"/>
      <c r="L793" s="134"/>
      <c r="M793" s="136"/>
    </row>
    <row r="794" spans="8:13" ht="14.5" x14ac:dyDescent="0.35">
      <c r="H794" s="363"/>
      <c r="I794" s="129"/>
      <c r="L794" s="134"/>
      <c r="M794" s="136"/>
    </row>
    <row r="795" spans="8:13" ht="14.5" x14ac:dyDescent="0.35">
      <c r="H795" s="363"/>
      <c r="I795" s="129"/>
      <c r="L795" s="134"/>
      <c r="M795" s="136"/>
    </row>
    <row r="796" spans="8:13" ht="14.5" x14ac:dyDescent="0.35">
      <c r="H796" s="363"/>
      <c r="I796" s="129"/>
      <c r="L796" s="134"/>
      <c r="M796" s="136"/>
    </row>
    <row r="797" spans="8:13" ht="14.5" x14ac:dyDescent="0.35">
      <c r="H797" s="363"/>
      <c r="I797" s="129"/>
      <c r="L797" s="134"/>
      <c r="M797" s="136"/>
    </row>
    <row r="798" spans="8:13" ht="14.5" x14ac:dyDescent="0.35">
      <c r="H798" s="363"/>
      <c r="I798" s="129"/>
      <c r="L798" s="134"/>
      <c r="M798" s="136"/>
    </row>
    <row r="799" spans="8:13" ht="14.5" x14ac:dyDescent="0.35">
      <c r="H799" s="363"/>
      <c r="I799" s="129"/>
      <c r="L799" s="134"/>
      <c r="M799" s="136"/>
    </row>
    <row r="800" spans="8:13" ht="14.5" x14ac:dyDescent="0.35">
      <c r="H800" s="363"/>
      <c r="I800" s="129"/>
      <c r="L800" s="134"/>
      <c r="M800" s="136"/>
    </row>
    <row r="801" spans="8:13" ht="14.5" x14ac:dyDescent="0.35">
      <c r="H801" s="363"/>
      <c r="I801" s="129"/>
      <c r="L801" s="134"/>
      <c r="M801" s="136"/>
    </row>
    <row r="802" spans="8:13" ht="14.5" x14ac:dyDescent="0.35">
      <c r="H802" s="363"/>
      <c r="I802" s="129"/>
      <c r="L802" s="134"/>
      <c r="M802" s="136"/>
    </row>
    <row r="803" spans="8:13" ht="14.5" x14ac:dyDescent="0.35">
      <c r="H803" s="363"/>
      <c r="I803" s="129"/>
      <c r="L803" s="134"/>
      <c r="M803" s="136"/>
    </row>
    <row r="804" spans="8:13" ht="14.5" x14ac:dyDescent="0.35">
      <c r="H804" s="363"/>
      <c r="I804" s="129"/>
      <c r="L804" s="134"/>
      <c r="M804" s="136"/>
    </row>
    <row r="805" spans="8:13" ht="14.5" x14ac:dyDescent="0.35">
      <c r="H805" s="363"/>
      <c r="I805" s="129"/>
      <c r="L805" s="134"/>
      <c r="M805" s="136"/>
    </row>
    <row r="806" spans="8:13" ht="14.5" x14ac:dyDescent="0.35">
      <c r="H806" s="363"/>
      <c r="I806" s="129"/>
      <c r="L806" s="134"/>
      <c r="M806" s="136"/>
    </row>
    <row r="807" spans="8:13" ht="14.5" x14ac:dyDescent="0.35">
      <c r="H807" s="363"/>
      <c r="I807" s="129"/>
      <c r="L807" s="134"/>
      <c r="M807" s="136"/>
    </row>
    <row r="808" spans="8:13" ht="14.5" x14ac:dyDescent="0.35">
      <c r="H808" s="363"/>
      <c r="I808" s="129"/>
      <c r="L808" s="134"/>
      <c r="M808" s="136"/>
    </row>
    <row r="809" spans="8:13" ht="14.5" x14ac:dyDescent="0.35">
      <c r="H809" s="363"/>
      <c r="I809" s="129"/>
      <c r="L809" s="134"/>
      <c r="M809" s="136"/>
    </row>
    <row r="810" spans="8:13" ht="14.5" x14ac:dyDescent="0.35">
      <c r="H810" s="363"/>
      <c r="I810" s="129"/>
      <c r="L810" s="134"/>
      <c r="M810" s="136"/>
    </row>
    <row r="811" spans="8:13" ht="14.5" x14ac:dyDescent="0.35">
      <c r="H811" s="363"/>
      <c r="I811" s="129"/>
      <c r="L811" s="134"/>
      <c r="M811" s="136"/>
    </row>
    <row r="812" spans="8:13" ht="14.5" x14ac:dyDescent="0.35">
      <c r="H812" s="363"/>
      <c r="I812" s="129"/>
      <c r="L812" s="134"/>
      <c r="M812" s="136"/>
    </row>
    <row r="813" spans="8:13" ht="14.5" x14ac:dyDescent="0.35">
      <c r="H813" s="363"/>
      <c r="I813" s="129"/>
      <c r="L813" s="134"/>
      <c r="M813" s="136"/>
    </row>
    <row r="814" spans="8:13" ht="14.5" x14ac:dyDescent="0.35">
      <c r="H814" s="363"/>
      <c r="I814" s="129"/>
      <c r="L814" s="134"/>
      <c r="M814" s="136"/>
    </row>
    <row r="815" spans="8:13" ht="14.5" x14ac:dyDescent="0.35">
      <c r="H815" s="363"/>
      <c r="I815" s="129"/>
      <c r="L815" s="134"/>
      <c r="M815" s="136"/>
    </row>
    <row r="816" spans="8:13" ht="14.5" x14ac:dyDescent="0.35">
      <c r="H816" s="363"/>
      <c r="I816" s="129"/>
      <c r="L816" s="134"/>
      <c r="M816" s="136"/>
    </row>
    <row r="817" spans="8:13" ht="14.5" x14ac:dyDescent="0.35">
      <c r="H817" s="363"/>
      <c r="I817" s="129"/>
      <c r="L817" s="134"/>
      <c r="M817" s="136"/>
    </row>
    <row r="818" spans="8:13" ht="14.5" x14ac:dyDescent="0.35">
      <c r="H818" s="363"/>
      <c r="I818" s="129"/>
      <c r="L818" s="134"/>
      <c r="M818" s="136"/>
    </row>
    <row r="819" spans="8:13" ht="14.5" x14ac:dyDescent="0.35">
      <c r="H819" s="363"/>
      <c r="I819" s="129"/>
      <c r="L819" s="134"/>
      <c r="M819" s="136"/>
    </row>
    <row r="820" spans="8:13" ht="14.5" x14ac:dyDescent="0.35">
      <c r="H820" s="363"/>
      <c r="I820" s="129"/>
      <c r="L820" s="134"/>
      <c r="M820" s="136"/>
    </row>
    <row r="821" spans="8:13" ht="14.5" x14ac:dyDescent="0.35">
      <c r="H821" s="363"/>
      <c r="I821" s="129"/>
      <c r="L821" s="134"/>
      <c r="M821" s="136"/>
    </row>
    <row r="822" spans="8:13" ht="14.5" x14ac:dyDescent="0.35">
      <c r="H822" s="363"/>
      <c r="I822" s="129"/>
      <c r="L822" s="134"/>
      <c r="M822" s="136"/>
    </row>
    <row r="823" spans="8:13" ht="14.5" x14ac:dyDescent="0.35">
      <c r="H823" s="363"/>
      <c r="I823" s="129"/>
      <c r="L823" s="134"/>
      <c r="M823" s="136"/>
    </row>
    <row r="824" spans="8:13" ht="14.5" x14ac:dyDescent="0.35">
      <c r="H824" s="363"/>
      <c r="I824" s="129"/>
      <c r="L824" s="134"/>
      <c r="M824" s="136"/>
    </row>
    <row r="825" spans="8:13" ht="14.5" x14ac:dyDescent="0.35">
      <c r="H825" s="363"/>
      <c r="I825" s="129"/>
      <c r="L825" s="134"/>
      <c r="M825" s="136"/>
    </row>
    <row r="826" spans="8:13" ht="14.5" x14ac:dyDescent="0.35">
      <c r="H826" s="363"/>
      <c r="I826" s="129"/>
      <c r="L826" s="134"/>
      <c r="M826" s="136"/>
    </row>
    <row r="827" spans="8:13" ht="14.5" x14ac:dyDescent="0.35">
      <c r="H827" s="363"/>
      <c r="I827" s="129"/>
      <c r="L827" s="134"/>
      <c r="M827" s="136"/>
    </row>
    <row r="828" spans="8:13" ht="14.5" x14ac:dyDescent="0.35">
      <c r="H828" s="363"/>
      <c r="I828" s="129"/>
      <c r="L828" s="134"/>
      <c r="M828" s="136"/>
    </row>
    <row r="829" spans="8:13" ht="14.5" x14ac:dyDescent="0.35">
      <c r="H829" s="363"/>
      <c r="I829" s="129"/>
      <c r="L829" s="134"/>
      <c r="M829" s="136"/>
    </row>
    <row r="830" spans="8:13" ht="14.5" x14ac:dyDescent="0.35">
      <c r="H830" s="363"/>
      <c r="I830" s="129"/>
      <c r="L830" s="134"/>
      <c r="M830" s="136"/>
    </row>
    <row r="831" spans="8:13" ht="14.5" x14ac:dyDescent="0.35">
      <c r="H831" s="363"/>
      <c r="I831" s="129"/>
      <c r="L831" s="134"/>
      <c r="M831" s="136"/>
    </row>
    <row r="832" spans="8:13" ht="14.5" x14ac:dyDescent="0.35">
      <c r="H832" s="363"/>
      <c r="I832" s="129"/>
      <c r="L832" s="134"/>
      <c r="M832" s="136"/>
    </row>
    <row r="833" spans="8:13" ht="14.5" x14ac:dyDescent="0.35">
      <c r="H833" s="363"/>
      <c r="I833" s="129"/>
      <c r="L833" s="134"/>
      <c r="M833" s="136"/>
    </row>
    <row r="834" spans="8:13" ht="14.5" x14ac:dyDescent="0.35">
      <c r="H834" s="363"/>
      <c r="I834" s="129"/>
      <c r="L834" s="134"/>
      <c r="M834" s="136"/>
    </row>
    <row r="835" spans="8:13" ht="14.5" x14ac:dyDescent="0.35">
      <c r="H835" s="363"/>
      <c r="I835" s="129"/>
      <c r="L835" s="134"/>
      <c r="M835" s="136"/>
    </row>
    <row r="836" spans="8:13" ht="14.5" x14ac:dyDescent="0.35">
      <c r="H836" s="363"/>
      <c r="I836" s="129"/>
      <c r="L836" s="134"/>
      <c r="M836" s="136"/>
    </row>
    <row r="837" spans="8:13" ht="14.5" x14ac:dyDescent="0.35">
      <c r="H837" s="363"/>
      <c r="I837" s="129"/>
      <c r="L837" s="134"/>
      <c r="M837" s="136"/>
    </row>
    <row r="838" spans="8:13" ht="14.5" x14ac:dyDescent="0.35">
      <c r="H838" s="363"/>
      <c r="I838" s="129"/>
      <c r="L838" s="134"/>
      <c r="M838" s="136"/>
    </row>
    <row r="839" spans="8:13" ht="14.5" x14ac:dyDescent="0.35">
      <c r="H839" s="363"/>
      <c r="I839" s="129"/>
      <c r="L839" s="134"/>
      <c r="M839" s="136"/>
    </row>
    <row r="840" spans="8:13" ht="14.5" x14ac:dyDescent="0.35">
      <c r="H840" s="363"/>
      <c r="I840" s="129"/>
      <c r="L840" s="134"/>
      <c r="M840" s="136"/>
    </row>
    <row r="841" spans="8:13" ht="14.5" x14ac:dyDescent="0.35">
      <c r="H841" s="363"/>
      <c r="I841" s="129"/>
      <c r="L841" s="134"/>
      <c r="M841" s="136"/>
    </row>
    <row r="842" spans="8:13" ht="14.5" x14ac:dyDescent="0.35">
      <c r="H842" s="363"/>
      <c r="I842" s="129"/>
      <c r="L842" s="134"/>
      <c r="M842" s="136"/>
    </row>
    <row r="843" spans="8:13" ht="14.5" x14ac:dyDescent="0.35">
      <c r="H843" s="363"/>
      <c r="I843" s="129"/>
      <c r="L843" s="134"/>
      <c r="M843" s="136"/>
    </row>
    <row r="844" spans="8:13" ht="14.5" x14ac:dyDescent="0.35">
      <c r="H844" s="363"/>
      <c r="I844" s="129"/>
      <c r="L844" s="134"/>
      <c r="M844" s="136"/>
    </row>
    <row r="845" spans="8:13" ht="14.5" x14ac:dyDescent="0.35">
      <c r="H845" s="363"/>
      <c r="I845" s="129"/>
      <c r="L845" s="134"/>
      <c r="M845" s="136"/>
    </row>
    <row r="846" spans="8:13" ht="14.5" x14ac:dyDescent="0.35">
      <c r="H846" s="363"/>
      <c r="I846" s="129"/>
      <c r="L846" s="134"/>
      <c r="M846" s="136"/>
    </row>
    <row r="847" spans="8:13" ht="14.5" x14ac:dyDescent="0.35">
      <c r="H847" s="363"/>
      <c r="I847" s="129"/>
      <c r="L847" s="134"/>
      <c r="M847" s="136"/>
    </row>
    <row r="848" spans="8:13" ht="14.5" x14ac:dyDescent="0.35">
      <c r="H848" s="363"/>
      <c r="I848" s="129"/>
      <c r="L848" s="134"/>
      <c r="M848" s="136"/>
    </row>
    <row r="849" spans="8:13" ht="14.5" x14ac:dyDescent="0.35">
      <c r="H849" s="363"/>
      <c r="I849" s="129"/>
      <c r="L849" s="134"/>
      <c r="M849" s="136"/>
    </row>
    <row r="850" spans="8:13" ht="14.5" x14ac:dyDescent="0.35">
      <c r="H850" s="363"/>
      <c r="I850" s="129"/>
      <c r="L850" s="134"/>
      <c r="M850" s="136"/>
    </row>
    <row r="851" spans="8:13" ht="14.5" x14ac:dyDescent="0.35">
      <c r="H851" s="363"/>
      <c r="I851" s="129"/>
      <c r="L851" s="134"/>
      <c r="M851" s="136"/>
    </row>
    <row r="852" spans="8:13" ht="14.5" x14ac:dyDescent="0.35">
      <c r="H852" s="363"/>
      <c r="I852" s="129"/>
      <c r="L852" s="134"/>
      <c r="M852" s="136"/>
    </row>
    <row r="853" spans="8:13" ht="14.5" x14ac:dyDescent="0.35">
      <c r="H853" s="363"/>
      <c r="I853" s="129"/>
      <c r="L853" s="134"/>
      <c r="M853" s="136"/>
    </row>
    <row r="854" spans="8:13" ht="14.5" x14ac:dyDescent="0.35">
      <c r="H854" s="363"/>
      <c r="I854" s="129"/>
      <c r="L854" s="134"/>
      <c r="M854" s="136"/>
    </row>
    <row r="855" spans="8:13" ht="14.5" x14ac:dyDescent="0.35">
      <c r="H855" s="363"/>
      <c r="I855" s="129"/>
      <c r="L855" s="134"/>
      <c r="M855" s="136"/>
    </row>
    <row r="856" spans="8:13" ht="14.5" x14ac:dyDescent="0.35">
      <c r="H856" s="363"/>
      <c r="I856" s="129"/>
      <c r="L856" s="134"/>
      <c r="M856" s="136"/>
    </row>
    <row r="857" spans="8:13" ht="14.5" x14ac:dyDescent="0.35">
      <c r="H857" s="363"/>
      <c r="I857" s="129"/>
      <c r="L857" s="134"/>
      <c r="M857" s="136"/>
    </row>
    <row r="858" spans="8:13" ht="14.5" x14ac:dyDescent="0.35">
      <c r="H858" s="363"/>
      <c r="I858" s="129"/>
      <c r="L858" s="134"/>
      <c r="M858" s="136"/>
    </row>
    <row r="859" spans="8:13" ht="14.5" x14ac:dyDescent="0.35">
      <c r="H859" s="363"/>
      <c r="I859" s="129"/>
      <c r="L859" s="134"/>
      <c r="M859" s="136"/>
    </row>
    <row r="860" spans="8:13" ht="14.5" x14ac:dyDescent="0.35">
      <c r="H860" s="363"/>
      <c r="I860" s="129"/>
      <c r="L860" s="134"/>
      <c r="M860" s="136"/>
    </row>
    <row r="861" spans="8:13" ht="14.5" x14ac:dyDescent="0.35">
      <c r="H861" s="363"/>
      <c r="I861" s="129"/>
      <c r="L861" s="134"/>
      <c r="M861" s="136"/>
    </row>
    <row r="862" spans="8:13" ht="14.5" x14ac:dyDescent="0.35">
      <c r="H862" s="363"/>
      <c r="I862" s="129"/>
      <c r="L862" s="134"/>
      <c r="M862" s="136"/>
    </row>
    <row r="863" spans="8:13" ht="14.5" x14ac:dyDescent="0.35">
      <c r="H863" s="363"/>
      <c r="I863" s="129"/>
      <c r="L863" s="134"/>
      <c r="M863" s="136"/>
    </row>
    <row r="864" spans="8:13" ht="14.5" x14ac:dyDescent="0.35">
      <c r="H864" s="363"/>
      <c r="I864" s="129"/>
      <c r="L864" s="134"/>
      <c r="M864" s="136"/>
    </row>
    <row r="865" spans="8:13" ht="14.5" x14ac:dyDescent="0.35">
      <c r="H865" s="363"/>
      <c r="I865" s="129"/>
      <c r="L865" s="134"/>
      <c r="M865" s="136"/>
    </row>
    <row r="866" spans="8:13" ht="14.5" x14ac:dyDescent="0.35">
      <c r="H866" s="363"/>
      <c r="I866" s="129"/>
      <c r="L866" s="134"/>
      <c r="M866" s="136"/>
    </row>
    <row r="867" spans="8:13" ht="14.5" x14ac:dyDescent="0.35">
      <c r="H867" s="363"/>
      <c r="I867" s="129"/>
      <c r="L867" s="134"/>
      <c r="M867" s="136"/>
    </row>
    <row r="868" spans="8:13" ht="14.5" x14ac:dyDescent="0.35">
      <c r="H868" s="363"/>
      <c r="I868" s="129"/>
      <c r="L868" s="134"/>
      <c r="M868" s="136"/>
    </row>
    <row r="869" spans="8:13" ht="14.5" x14ac:dyDescent="0.35">
      <c r="H869" s="363"/>
      <c r="I869" s="129"/>
      <c r="L869" s="134"/>
      <c r="M869" s="136"/>
    </row>
    <row r="870" spans="8:13" ht="14.5" x14ac:dyDescent="0.35">
      <c r="H870" s="363"/>
      <c r="I870" s="129"/>
      <c r="L870" s="134"/>
      <c r="M870" s="136"/>
    </row>
    <row r="871" spans="8:13" ht="14.5" x14ac:dyDescent="0.35">
      <c r="H871" s="363"/>
      <c r="I871" s="129"/>
      <c r="L871" s="134"/>
      <c r="M871" s="136"/>
    </row>
    <row r="872" spans="8:13" ht="14.5" x14ac:dyDescent="0.35">
      <c r="H872" s="363"/>
      <c r="I872" s="129"/>
      <c r="L872" s="134"/>
      <c r="M872" s="136"/>
    </row>
    <row r="873" spans="8:13" ht="14.5" x14ac:dyDescent="0.35">
      <c r="H873" s="363"/>
      <c r="I873" s="129"/>
      <c r="L873" s="134"/>
      <c r="M873" s="136"/>
    </row>
    <row r="874" spans="8:13" ht="14.5" x14ac:dyDescent="0.35">
      <c r="H874" s="363"/>
      <c r="I874" s="129"/>
      <c r="L874" s="134"/>
      <c r="M874" s="136"/>
    </row>
    <row r="875" spans="8:13" ht="14.5" x14ac:dyDescent="0.35">
      <c r="H875" s="363"/>
      <c r="I875" s="129"/>
      <c r="L875" s="134"/>
      <c r="M875" s="136"/>
    </row>
    <row r="876" spans="8:13" ht="14.5" x14ac:dyDescent="0.35">
      <c r="H876" s="363"/>
      <c r="I876" s="129"/>
      <c r="L876" s="134"/>
      <c r="M876" s="136"/>
    </row>
    <row r="877" spans="8:13" ht="14.5" x14ac:dyDescent="0.35">
      <c r="H877" s="363"/>
      <c r="I877" s="129"/>
      <c r="L877" s="134"/>
      <c r="M877" s="136"/>
    </row>
    <row r="878" spans="8:13" ht="14.5" x14ac:dyDescent="0.35">
      <c r="H878" s="363"/>
      <c r="I878" s="129"/>
      <c r="L878" s="134"/>
      <c r="M878" s="136"/>
    </row>
    <row r="879" spans="8:13" ht="14.5" x14ac:dyDescent="0.35">
      <c r="H879" s="363"/>
      <c r="I879" s="129"/>
      <c r="L879" s="134"/>
      <c r="M879" s="136"/>
    </row>
    <row r="880" spans="8:13" ht="14.5" x14ac:dyDescent="0.35">
      <c r="H880" s="363"/>
      <c r="I880" s="129"/>
      <c r="L880" s="134"/>
      <c r="M880" s="136"/>
    </row>
    <row r="881" spans="8:13" ht="14.5" x14ac:dyDescent="0.35">
      <c r="H881" s="363"/>
      <c r="I881" s="129"/>
      <c r="L881" s="134"/>
      <c r="M881" s="136"/>
    </row>
    <row r="882" spans="8:13" ht="14.5" x14ac:dyDescent="0.35">
      <c r="H882" s="363"/>
      <c r="I882" s="129"/>
      <c r="L882" s="134"/>
      <c r="M882" s="136"/>
    </row>
    <row r="883" spans="8:13" ht="14.5" x14ac:dyDescent="0.35">
      <c r="H883" s="363"/>
      <c r="I883" s="129"/>
      <c r="L883" s="134"/>
      <c r="M883" s="136"/>
    </row>
    <row r="884" spans="8:13" ht="14.5" x14ac:dyDescent="0.35">
      <c r="H884" s="363"/>
      <c r="I884" s="129"/>
      <c r="L884" s="134"/>
      <c r="M884" s="136"/>
    </row>
  </sheetData>
  <autoFilter ref="A3:AE65" xr:uid="{00000000-0001-0000-0000-000000000000}"/>
  <mergeCells count="219">
    <mergeCell ref="X33:X34"/>
    <mergeCell ref="Y30:Y32"/>
    <mergeCell ref="Q40:Q42"/>
    <mergeCell ref="R40:R42"/>
    <mergeCell ref="Q47:Q49"/>
    <mergeCell ref="P45:P46"/>
    <mergeCell ref="Q45:Q46"/>
    <mergeCell ref="T37:T38"/>
    <mergeCell ref="W37:W38"/>
    <mergeCell ref="X37:X38"/>
    <mergeCell ref="Y37:Y38"/>
    <mergeCell ref="U37:U38"/>
    <mergeCell ref="Q33:Q34"/>
    <mergeCell ref="R33:R34"/>
    <mergeCell ref="S33:S34"/>
    <mergeCell ref="T14:T15"/>
    <mergeCell ref="U14:U15"/>
    <mergeCell ref="W14:W15"/>
    <mergeCell ref="X62:X65"/>
    <mergeCell ref="Y62:Y65"/>
    <mergeCell ref="T58:T61"/>
    <mergeCell ref="U58:U61"/>
    <mergeCell ref="V58:V61"/>
    <mergeCell ref="W58:W61"/>
    <mergeCell ref="X58:X61"/>
    <mergeCell ref="Y58:Y61"/>
    <mergeCell ref="T30:T32"/>
    <mergeCell ref="U30:U32"/>
    <mergeCell ref="V30:V32"/>
    <mergeCell ref="W30:W32"/>
    <mergeCell ref="X30:X32"/>
    <mergeCell ref="X14:X15"/>
    <mergeCell ref="Y14:Y15"/>
    <mergeCell ref="U19:U21"/>
    <mergeCell ref="W19:W21"/>
    <mergeCell ref="X19:X21"/>
    <mergeCell ref="Y19:Y21"/>
    <mergeCell ref="W16:W18"/>
    <mergeCell ref="X16:X18"/>
    <mergeCell ref="Z62:Z65"/>
    <mergeCell ref="E5:E6"/>
    <mergeCell ref="T19:T21"/>
    <mergeCell ref="T16:T18"/>
    <mergeCell ref="T33:T34"/>
    <mergeCell ref="U33:U34"/>
    <mergeCell ref="W33:W34"/>
    <mergeCell ref="Y33:Y34"/>
    <mergeCell ref="P62:P65"/>
    <mergeCell ref="Q62:Q65"/>
    <mergeCell ref="T62:T65"/>
    <mergeCell ref="U62:U65"/>
    <mergeCell ref="V62:V65"/>
    <mergeCell ref="W62:W65"/>
    <mergeCell ref="Z58:Z61"/>
    <mergeCell ref="E62:E65"/>
    <mergeCell ref="F62:F65"/>
    <mergeCell ref="H62:H65"/>
    <mergeCell ref="I62:I65"/>
    <mergeCell ref="J62:J65"/>
    <mergeCell ref="L62:L65"/>
    <mergeCell ref="M62:M65"/>
    <mergeCell ref="N62:N65"/>
    <mergeCell ref="O62:O65"/>
    <mergeCell ref="L58:L61"/>
    <mergeCell ref="M58:M61"/>
    <mergeCell ref="N58:N61"/>
    <mergeCell ref="O58:O61"/>
    <mergeCell ref="P58:P61"/>
    <mergeCell ref="Q58:Q61"/>
    <mergeCell ref="E58:E61"/>
    <mergeCell ref="F58:F61"/>
    <mergeCell ref="H58:H61"/>
    <mergeCell ref="I58:I61"/>
    <mergeCell ref="J58:J61"/>
    <mergeCell ref="K58:K61"/>
    <mergeCell ref="E47:E49"/>
    <mergeCell ref="F47:F49"/>
    <mergeCell ref="H47:H49"/>
    <mergeCell ref="N48:N49"/>
    <mergeCell ref="E50:E51"/>
    <mergeCell ref="F50:F51"/>
    <mergeCell ref="H50:H51"/>
    <mergeCell ref="I50:I51"/>
    <mergeCell ref="N50:N51"/>
    <mergeCell ref="M40:M42"/>
    <mergeCell ref="N40:N42"/>
    <mergeCell ref="E45:E46"/>
    <mergeCell ref="F45:F46"/>
    <mergeCell ref="H45:H46"/>
    <mergeCell ref="N45:N46"/>
    <mergeCell ref="P37:P38"/>
    <mergeCell ref="Q37:Q38"/>
    <mergeCell ref="R37:R38"/>
    <mergeCell ref="E40:E42"/>
    <mergeCell ref="F40:F42"/>
    <mergeCell ref="H40:H42"/>
    <mergeCell ref="I40:I42"/>
    <mergeCell ref="J40:J42"/>
    <mergeCell ref="K40:K42"/>
    <mergeCell ref="L40:L42"/>
    <mergeCell ref="J37:J38"/>
    <mergeCell ref="K37:K38"/>
    <mergeCell ref="L37:L38"/>
    <mergeCell ref="M37:M38"/>
    <mergeCell ref="N37:N38"/>
    <mergeCell ref="O37:O38"/>
    <mergeCell ref="E35:E36"/>
    <mergeCell ref="E37:E38"/>
    <mergeCell ref="F37:F38"/>
    <mergeCell ref="G37:G38"/>
    <mergeCell ref="H37:H38"/>
    <mergeCell ref="I37:I38"/>
    <mergeCell ref="N33:N34"/>
    <mergeCell ref="O33:O34"/>
    <mergeCell ref="P33:P34"/>
    <mergeCell ref="E33:E34"/>
    <mergeCell ref="F33:F34"/>
    <mergeCell ref="G33:G34"/>
    <mergeCell ref="H33:H34"/>
    <mergeCell ref="I33:I34"/>
    <mergeCell ref="J33:J34"/>
    <mergeCell ref="G31:G32"/>
    <mergeCell ref="L30:L32"/>
    <mergeCell ref="M30:M32"/>
    <mergeCell ref="N30:N32"/>
    <mergeCell ref="O30:O32"/>
    <mergeCell ref="P30:P32"/>
    <mergeCell ref="Q30:Q32"/>
    <mergeCell ref="E30:E32"/>
    <mergeCell ref="F30:F32"/>
    <mergeCell ref="H30:H32"/>
    <mergeCell ref="I30:I32"/>
    <mergeCell ref="J30:J32"/>
    <mergeCell ref="K30:K32"/>
    <mergeCell ref="Q22:Q23"/>
    <mergeCell ref="R22:R23"/>
    <mergeCell ref="S22:S23"/>
    <mergeCell ref="N24:N25"/>
    <mergeCell ref="O24:O25"/>
    <mergeCell ref="Q24:Q25"/>
    <mergeCell ref="S24:S25"/>
    <mergeCell ref="K22:K23"/>
    <mergeCell ref="L22:L23"/>
    <mergeCell ref="M22:M23"/>
    <mergeCell ref="N22:N23"/>
    <mergeCell ref="O22:O23"/>
    <mergeCell ref="P22:P23"/>
    <mergeCell ref="S16:S21"/>
    <mergeCell ref="G17:G18"/>
    <mergeCell ref="E19:E21"/>
    <mergeCell ref="F19:F21"/>
    <mergeCell ref="H19:H21"/>
    <mergeCell ref="I19:I21"/>
    <mergeCell ref="J19:J21"/>
    <mergeCell ref="K19:K21"/>
    <mergeCell ref="L19:L21"/>
    <mergeCell ref="M19:M21"/>
    <mergeCell ref="M16:M18"/>
    <mergeCell ref="N16:N21"/>
    <mergeCell ref="O16:O21"/>
    <mergeCell ref="P16:P18"/>
    <mergeCell ref="Q16:Q21"/>
    <mergeCell ref="R16:R21"/>
    <mergeCell ref="P19:P21"/>
    <mergeCell ref="H14:H15"/>
    <mergeCell ref="I14:I15"/>
    <mergeCell ref="J14:J15"/>
    <mergeCell ref="G20:G21"/>
    <mergeCell ref="E22:E23"/>
    <mergeCell ref="F22:F23"/>
    <mergeCell ref="H22:H23"/>
    <mergeCell ref="I22:I23"/>
    <mergeCell ref="J22:J23"/>
    <mergeCell ref="E7:E10"/>
    <mergeCell ref="H7:H10"/>
    <mergeCell ref="I7:I10"/>
    <mergeCell ref="L7:L10"/>
    <mergeCell ref="M7:M10"/>
    <mergeCell ref="Q14:Q15"/>
    <mergeCell ref="R14:R15"/>
    <mergeCell ref="S14:S15"/>
    <mergeCell ref="E16:E18"/>
    <mergeCell ref="F16:F18"/>
    <mergeCell ref="H16:H18"/>
    <mergeCell ref="I16:I18"/>
    <mergeCell ref="J16:J18"/>
    <mergeCell ref="K16:K18"/>
    <mergeCell ref="L16:L18"/>
    <mergeCell ref="K14:K15"/>
    <mergeCell ref="L14:L15"/>
    <mergeCell ref="M14:M15"/>
    <mergeCell ref="N14:N15"/>
    <mergeCell ref="O14:O15"/>
    <mergeCell ref="P14:P15"/>
    <mergeCell ref="E14:E15"/>
    <mergeCell ref="F14:F15"/>
    <mergeCell ref="G14:G15"/>
    <mergeCell ref="Z2:AB2"/>
    <mergeCell ref="AC2:AE2"/>
    <mergeCell ref="H5:H6"/>
    <mergeCell ref="I5:I6"/>
    <mergeCell ref="K5:K6"/>
    <mergeCell ref="L5:L6"/>
    <mergeCell ref="M5:M6"/>
    <mergeCell ref="N5:N10"/>
    <mergeCell ref="F8:F10"/>
    <mergeCell ref="G8:G10"/>
    <mergeCell ref="K8:K10"/>
    <mergeCell ref="O5:O10"/>
    <mergeCell ref="P5:P10"/>
    <mergeCell ref="Q5:Q10"/>
    <mergeCell ref="R5:R10"/>
    <mergeCell ref="S5:S10"/>
    <mergeCell ref="T5:T6"/>
    <mergeCell ref="X5:X6"/>
    <mergeCell ref="U5:U10"/>
    <mergeCell ref="Y5:Y10"/>
    <mergeCell ref="T7:T10"/>
    <mergeCell ref="X7:X10"/>
  </mergeCells>
  <conditionalFormatting sqref="M4:M22">
    <cfRule type="cellIs" dxfId="3" priority="1" operator="lessThan">
      <formula>60%</formula>
    </cfRule>
    <cfRule type="cellIs" dxfId="2" priority="2" operator="between">
      <formula>"60,1"</formula>
      <formula>"69,9"</formula>
    </cfRule>
    <cfRule type="cellIs" dxfId="1" priority="3" operator="greaterThan">
      <formula>70%</formula>
    </cfRule>
  </conditionalFormatting>
  <conditionalFormatting sqref="T4:Z5 V6:W6 Z6:Z10 T7 V7:X7 V8:W10 T11:Z14 V15 Z15 T16:Z16 U17:V18 Y17:Z18 T19:Z19 V20:V21 Z20:Z21 T22:Z30 T31:X32 Z31:Z32 T33:Z33 V34 Z34 T35:Z37 V38 Z38 T39 V39:Z39 T40:Z57 T58:V58 X58:Z58 W58:W61 T62:Z62 T63:T65 V63:Z65">
    <cfRule type="containsBlanks" dxfId="0" priority="4">
      <formula>LEN(TRIM(T4))=0</formula>
    </cfRule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PV-DUR</vt:lpstr>
      <vt:lpstr>C.S.-SY-MAL-MRS-TEM</vt:lpstr>
      <vt:lpstr>MER-CF-GRE-CALADOC</vt:lpstr>
      <vt:lpstr>SB</vt:lpstr>
      <vt:lpstr>CH-CB-SBGR</vt:lpstr>
      <vt:lpstr>PRERECEPCIÓN 2025</vt:lpstr>
      <vt:lpstr>RECEPCIÓN 2025</vt:lpstr>
      <vt:lpstr>COMPOSICIÓN TK TINTOS</vt:lpstr>
      <vt:lpstr>COMPOSICIÓN BLANCOS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Carla Tinajero</dc:creator>
  <cp:keywords/>
  <dc:description/>
  <cp:lastModifiedBy>Daniel Hack</cp:lastModifiedBy>
  <cp:revision/>
  <dcterms:created xsi:type="dcterms:W3CDTF">2026-01-27T18:11:05Z</dcterms:created>
  <dcterms:modified xsi:type="dcterms:W3CDTF">2026-04-16T19:38:06Z</dcterms:modified>
  <cp:category/>
  <cp:contentStatus/>
</cp:coreProperties>
</file>